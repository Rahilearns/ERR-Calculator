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82DBEC53-6DC5-428D-83D3-FA89942F0A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hedule" sheetId="2" r:id="rId1"/>
    <sheet name="COF_ISC_LAYER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4" l="1"/>
  <c r="D32" i="4"/>
  <c r="G31" i="4"/>
  <c r="D31" i="4"/>
  <c r="G30" i="4"/>
  <c r="D30" i="4"/>
  <c r="G29" i="4"/>
  <c r="D29" i="4"/>
  <c r="G28" i="4"/>
  <c r="D28" i="4"/>
  <c r="G27" i="4"/>
  <c r="D27" i="4"/>
  <c r="G26" i="4"/>
  <c r="D26" i="4"/>
  <c r="G25" i="4"/>
  <c r="D25" i="4"/>
  <c r="G24" i="4"/>
  <c r="D24" i="4"/>
  <c r="G23" i="4"/>
  <c r="D23" i="4"/>
  <c r="G22" i="4"/>
  <c r="D22" i="4"/>
  <c r="G21" i="4"/>
  <c r="D21" i="4"/>
  <c r="G20" i="4"/>
  <c r="D20" i="4"/>
  <c r="G19" i="4"/>
  <c r="D19" i="4"/>
  <c r="G18" i="4"/>
  <c r="D18" i="4"/>
  <c r="G17" i="4"/>
  <c r="D17" i="4"/>
  <c r="G16" i="4"/>
  <c r="D16" i="4"/>
  <c r="G15" i="4"/>
  <c r="D15" i="4"/>
  <c r="G14" i="4"/>
  <c r="D14" i="4"/>
  <c r="G13" i="4"/>
  <c r="D13" i="4"/>
  <c r="G12" i="4"/>
  <c r="D12" i="4"/>
  <c r="G11" i="4"/>
  <c r="D11" i="4"/>
  <c r="G10" i="4"/>
  <c r="D10" i="4"/>
  <c r="G9" i="4"/>
  <c r="D9" i="4"/>
  <c r="G8" i="4"/>
  <c r="D8" i="4"/>
  <c r="G7" i="4"/>
  <c r="D7" i="4"/>
  <c r="G6" i="4"/>
  <c r="D6" i="4"/>
  <c r="G5" i="4"/>
  <c r="D5" i="4"/>
  <c r="G4" i="4"/>
  <c r="D4" i="4"/>
</calcChain>
</file>

<file path=xl/sharedStrings.xml><?xml version="1.0" encoding="utf-8"?>
<sst xmlns="http://schemas.openxmlformats.org/spreadsheetml/2006/main" count="16" uniqueCount="13">
  <si>
    <t>Year</t>
  </si>
  <si>
    <t>Installment</t>
  </si>
  <si>
    <t>Interest</t>
  </si>
  <si>
    <t>Principal</t>
  </si>
  <si>
    <t>URPA</t>
  </si>
  <si>
    <t>Date</t>
  </si>
  <si>
    <t>Month</t>
  </si>
  <si>
    <t>Day</t>
  </si>
  <si>
    <t>Input Required</t>
  </si>
  <si>
    <t>Do Not Edit</t>
  </si>
  <si>
    <t>COF (M-o-M)</t>
  </si>
  <si>
    <t>ISC</t>
  </si>
  <si>
    <t>Eligible COF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</si>
</sst>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409]d\-mmm\-yy;@"/>
  </numFmts>
  <fonts count="9" x14ac:knownFonts="1">
    <font>
      <sz val="11"/>
      <name val="Calibri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3" fillId="2" borderId="0" xfId="0" applyFont="1" applyFill="1" applyAlignment="1">
      <alignment horizontal="center" vertical="center"/>
    </xf>
    <xf numFmtId="43" fontId="0" fillId="0" borderId="0" xfId="0" applyNumberFormat="1"/>
    <xf numFmtId="0" fontId="4" fillId="0" borderId="0" xfId="0" applyFont="1" applyAlignment="1">
      <alignment horizontal="center"/>
    </xf>
    <xf numFmtId="43" fontId="5" fillId="0" borderId="0" xfId="0" applyNumberFormat="1" applyFont="1"/>
    <xf numFmtId="164" fontId="0" fillId="0" borderId="0" xfId="0" applyNumberFormat="1" applyAlignment="1">
      <alignment horizontal="center"/>
    </xf>
    <xf numFmtId="43" fontId="0" fillId="0" borderId="0" xfId="1" applyFont="1"/>
    <xf numFmtId="0" fontId="6" fillId="4" borderId="0" xfId="2" applyFont="1" applyFill="1" applyAlignment="1">
      <alignment horizontal="center" vertical="center"/>
    </xf>
    <xf numFmtId="0" fontId="7" fillId="3" borderId="0" xfId="2" applyFont="1" applyFill="1" applyAlignment="1">
      <alignment horizontal="center" vertical="center" wrapText="1"/>
    </xf>
    <xf numFmtId="0" fontId="6" fillId="4" borderId="0" xfId="2" applyFont="1" applyFill="1" applyAlignment="1">
      <alignment horizontal="center" vertical="center" wrapText="1"/>
    </xf>
    <xf numFmtId="0" fontId="1" fillId="0" borderId="0" xfId="2"/>
    <xf numFmtId="0" fontId="8" fillId="0" borderId="0" xfId="2" applyFont="1" applyAlignment="1">
      <alignment horizontal="center" vertical="top"/>
    </xf>
    <xf numFmtId="0" fontId="8" fillId="3" borderId="0" xfId="2" applyFont="1" applyFill="1" applyAlignment="1">
      <alignment horizontal="center" vertical="top"/>
    </xf>
    <xf numFmtId="164" fontId="1" fillId="0" borderId="0" xfId="2" applyNumberFormat="1"/>
    <xf numFmtId="10" fontId="0" fillId="0" borderId="0" xfId="3" applyNumberFormat="1" applyFont="1"/>
    <xf numFmtId="10" fontId="1" fillId="0" borderId="0" xfId="2" applyNumberFormat="1"/>
  </cellXfs>
  <cellStyles count="4">
    <cellStyle name="Comma" xfId="1" builtinId="3"/>
    <cellStyle name="Normal" xfId="0" builtinId="0"/>
    <cellStyle name="Normal 2" xfId="2" xr:uid="{BAC38F69-0947-4438-8586-3AAD04AA67E4}"/>
    <cellStyle name="Percent 2" xfId="3" xr:uid="{9784394B-9D96-4CAF-8085-A4ED28525405}"/>
  </cellStyles>
  <dxfs count="5">
    <dxf>
      <numFmt numFmtId="14" formatCode="0.00%"/>
    </dxf>
    <dxf>
      <numFmt numFmtId="14" formatCode="0.00%"/>
    </dxf>
    <dxf>
      <numFmt numFmtId="14" formatCode="0.00%"/>
    </dxf>
    <dxf>
      <numFmt numFmtId="164" formatCode="[$-409]d\-mmm\-yy;@"/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AD2CE-D5F8-4CCD-BD44-353E67415A72}" name="Table13" displayName="Table13" ref="A3:G32" totalsRowShown="0" headerRowDxfId="4">
  <autoFilter ref="A3:G32" xr:uid="{00000000-0009-0000-0100-000001000000}"/>
  <tableColumns count="7">
    <tableColumn id="1" xr3:uid="{35EA96DC-6F55-4AD8-9504-2D91CF0D158F}" name="Year"/>
    <tableColumn id="2" xr3:uid="{591579E1-5BA2-4EFE-B8D3-1E05AF51DFFE}" name="Month"/>
    <tableColumn id="3" xr3:uid="{6642D601-2A8F-4ECE-ACFC-49B5693D4C1F}" name="Day"/>
    <tableColumn id="4" xr3:uid="{F07EB405-47CE-4387-B7F9-05DFFA25B6E1}" name="Date" dataDxfId="3">
      <calculatedColumnFormula>IFERROR(DATE(Table13[[#This Row],[Year]],Table13[[#This Row],[Month]],Table13[[#This Row],[Day]]),"")</calculatedColumnFormula>
    </tableColumn>
    <tableColumn id="5" xr3:uid="{383E352C-B45E-4DD5-B5A3-C4D21F0A8CAE}" name="COF (M-o-M)" dataDxfId="2" dataCellStyle="Percent"/>
    <tableColumn id="6" xr3:uid="{439454B8-0529-4F13-A62A-89B775CEBC13}" name="ISC" dataDxfId="1" dataCellStyle="Percent"/>
    <tableColumn id="7" xr3:uid="{1AA0AF8F-5BFA-47E7-ACC6-0C0157271BED}" name="Eligible COF" dataDxfId="0">
      <calculatedColumnFormula>MAX(Table13[[#This Row],[COF (M-o-M)]:[ISC]])+0.3%</calculatedColumnFormula>
    </tableColumn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3"/>
  <sheetViews>
    <sheetView tabSelected="1" workbookViewId="0">
      <selection activeCell="G6" sqref="G6"/>
    </sheetView>
  </sheetViews>
  <sheetFormatPr defaultRowHeight="15" x14ac:dyDescent="0.25"/>
  <cols>
    <col min="1" max="5" width="18.85546875" customWidth="1"/>
  </cols>
  <sheetData>
    <row r="1" spans="1:5" x14ac:dyDescent="0.25">
      <c r="A1" s="1" t="s">
        <v>5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5"/>
      <c r="B2" s="2"/>
      <c r="C2" s="2"/>
      <c r="D2" s="2"/>
      <c r="E2" s="2"/>
    </row>
    <row r="3" spans="1:5" x14ac:dyDescent="0.25">
      <c r="A3" s="5"/>
      <c r="B3" s="2"/>
      <c r="C3" s="2"/>
      <c r="D3" s="2"/>
      <c r="E3" s="2"/>
    </row>
    <row r="4" spans="1:5" x14ac:dyDescent="0.25">
      <c r="A4" s="5"/>
      <c r="B4" s="2"/>
      <c r="C4" s="2"/>
      <c r="D4" s="2"/>
      <c r="E4" s="2"/>
    </row>
    <row r="5" spans="1:5" x14ac:dyDescent="0.25">
      <c r="A5" s="5"/>
      <c r="B5" s="2"/>
      <c r="C5" s="2"/>
      <c r="D5" s="2"/>
      <c r="E5" s="2"/>
    </row>
    <row r="6" spans="1:5" x14ac:dyDescent="0.25">
      <c r="A6" s="5"/>
      <c r="B6" s="2"/>
      <c r="C6" s="2"/>
      <c r="D6" s="2"/>
      <c r="E6" s="2"/>
    </row>
    <row r="7" spans="1:5" x14ac:dyDescent="0.25">
      <c r="A7" s="5"/>
      <c r="B7" s="2"/>
      <c r="C7" s="2"/>
      <c r="D7" s="2"/>
      <c r="E7" s="2"/>
    </row>
    <row r="8" spans="1:5" x14ac:dyDescent="0.25">
      <c r="A8" s="5"/>
      <c r="B8" s="2"/>
      <c r="C8" s="2"/>
      <c r="D8" s="2"/>
      <c r="E8" s="2"/>
    </row>
    <row r="9" spans="1:5" x14ac:dyDescent="0.25">
      <c r="A9" s="5"/>
      <c r="B9" s="2"/>
      <c r="C9" s="2"/>
      <c r="D9" s="2"/>
      <c r="E9" s="2"/>
    </row>
    <row r="10" spans="1:5" x14ac:dyDescent="0.25">
      <c r="A10" s="5"/>
      <c r="B10" s="2"/>
      <c r="C10" s="2"/>
      <c r="D10" s="2"/>
      <c r="E10" s="2"/>
    </row>
    <row r="11" spans="1:5" x14ac:dyDescent="0.25">
      <c r="A11" s="5"/>
      <c r="B11" s="2"/>
      <c r="C11" s="2"/>
      <c r="D11" s="2"/>
      <c r="E11" s="2"/>
    </row>
    <row r="12" spans="1:5" x14ac:dyDescent="0.25">
      <c r="A12" s="5"/>
      <c r="B12" s="2"/>
      <c r="C12" s="2"/>
      <c r="D12" s="2"/>
      <c r="E12" s="2"/>
    </row>
    <row r="13" spans="1:5" x14ac:dyDescent="0.25">
      <c r="A13" s="5"/>
      <c r="B13" s="2"/>
      <c r="C13" s="2"/>
      <c r="D13" s="2"/>
      <c r="E13" s="2"/>
    </row>
    <row r="14" spans="1:5" x14ac:dyDescent="0.25">
      <c r="A14" s="5"/>
      <c r="B14" s="2"/>
      <c r="C14" s="2"/>
      <c r="D14" s="2"/>
      <c r="E14" s="2"/>
    </row>
    <row r="15" spans="1:5" x14ac:dyDescent="0.25">
      <c r="A15" s="5"/>
      <c r="B15" s="2"/>
      <c r="C15" s="2"/>
      <c r="D15" s="2"/>
      <c r="E15" s="2"/>
    </row>
    <row r="16" spans="1:5" x14ac:dyDescent="0.25">
      <c r="A16" s="5"/>
      <c r="B16" s="2"/>
      <c r="C16" s="2"/>
      <c r="D16" s="2"/>
      <c r="E16" s="2"/>
    </row>
    <row r="17" spans="1:5" x14ac:dyDescent="0.25">
      <c r="A17" s="5"/>
      <c r="B17" s="2"/>
      <c r="C17" s="2"/>
      <c r="D17" s="2"/>
      <c r="E17" s="2"/>
    </row>
    <row r="18" spans="1:5" x14ac:dyDescent="0.25">
      <c r="A18" s="5"/>
      <c r="B18" s="2"/>
      <c r="C18" s="2"/>
      <c r="D18" s="2"/>
      <c r="E18" s="2"/>
    </row>
    <row r="19" spans="1:5" x14ac:dyDescent="0.25">
      <c r="A19" s="5"/>
      <c r="B19" s="2"/>
      <c r="C19" s="2"/>
      <c r="D19" s="2"/>
      <c r="E19" s="2"/>
    </row>
    <row r="20" spans="1:5" x14ac:dyDescent="0.25">
      <c r="A20" s="5"/>
      <c r="B20" s="2"/>
      <c r="C20" s="2"/>
      <c r="D20" s="2"/>
      <c r="E20" s="2"/>
    </row>
    <row r="21" spans="1:5" x14ac:dyDescent="0.25">
      <c r="A21" s="5"/>
      <c r="B21" s="2"/>
      <c r="C21" s="2"/>
      <c r="D21" s="2"/>
      <c r="E21" s="2"/>
    </row>
    <row r="22" spans="1:5" x14ac:dyDescent="0.25">
      <c r="A22" s="5"/>
      <c r="B22" s="2"/>
      <c r="C22" s="2"/>
      <c r="D22" s="2"/>
      <c r="E22" s="2"/>
    </row>
    <row r="23" spans="1:5" x14ac:dyDescent="0.25">
      <c r="A23" s="5"/>
      <c r="B23" s="2"/>
      <c r="C23" s="2"/>
      <c r="D23" s="2"/>
      <c r="E23" s="2"/>
    </row>
    <row r="24" spans="1:5" x14ac:dyDescent="0.25">
      <c r="A24" s="5"/>
      <c r="B24" s="2"/>
      <c r="C24" s="2"/>
      <c r="D24" s="2"/>
      <c r="E24" s="2"/>
    </row>
    <row r="25" spans="1:5" x14ac:dyDescent="0.25">
      <c r="A25" s="5"/>
      <c r="B25" s="2"/>
      <c r="C25" s="2"/>
      <c r="D25" s="2"/>
      <c r="E25" s="2"/>
    </row>
    <row r="26" spans="1:5" x14ac:dyDescent="0.25">
      <c r="A26" s="5"/>
      <c r="B26" s="2"/>
      <c r="C26" s="2"/>
      <c r="D26" s="2"/>
      <c r="E26" s="2"/>
    </row>
    <row r="27" spans="1:5" x14ac:dyDescent="0.25">
      <c r="A27" s="5"/>
      <c r="B27" s="2"/>
      <c r="C27" s="2"/>
      <c r="D27" s="2"/>
      <c r="E27" s="2"/>
    </row>
    <row r="28" spans="1:5" x14ac:dyDescent="0.25">
      <c r="A28" s="5"/>
      <c r="B28" s="2"/>
      <c r="C28" s="2"/>
      <c r="D28" s="2"/>
      <c r="E28" s="2"/>
    </row>
    <row r="29" spans="1:5" x14ac:dyDescent="0.25">
      <c r="A29" s="5"/>
      <c r="B29" s="2"/>
      <c r="C29" s="2"/>
      <c r="D29" s="2"/>
      <c r="E29" s="2"/>
    </row>
    <row r="30" spans="1:5" x14ac:dyDescent="0.25">
      <c r="A30" s="5"/>
      <c r="B30" s="2"/>
      <c r="C30" s="2"/>
      <c r="D30" s="2"/>
      <c r="E30" s="2"/>
    </row>
    <row r="31" spans="1:5" x14ac:dyDescent="0.25">
      <c r="A31" s="5"/>
      <c r="B31" s="2"/>
      <c r="C31" s="2"/>
      <c r="D31" s="2"/>
      <c r="E31" s="2"/>
    </row>
    <row r="32" spans="1:5" x14ac:dyDescent="0.25">
      <c r="A32" s="5"/>
      <c r="B32" s="2"/>
      <c r="C32" s="2"/>
      <c r="D32" s="2"/>
      <c r="E32" s="2"/>
    </row>
    <row r="33" spans="1:5" x14ac:dyDescent="0.25">
      <c r="A33" s="5"/>
      <c r="B33" s="2"/>
      <c r="C33" s="2"/>
      <c r="D33" s="2"/>
      <c r="E33" s="2"/>
    </row>
    <row r="34" spans="1:5" x14ac:dyDescent="0.25">
      <c r="A34" s="5"/>
      <c r="B34" s="2"/>
      <c r="C34" s="2"/>
      <c r="D34" s="2"/>
      <c r="E34" s="2"/>
    </row>
    <row r="35" spans="1:5" x14ac:dyDescent="0.25">
      <c r="A35" s="5"/>
      <c r="B35" s="2"/>
      <c r="C35" s="2"/>
      <c r="D35" s="2"/>
      <c r="E35" s="2"/>
    </row>
    <row r="36" spans="1:5" x14ac:dyDescent="0.25">
      <c r="A36" s="5"/>
      <c r="B36" s="2"/>
      <c r="C36" s="2"/>
      <c r="D36" s="2"/>
      <c r="E36" s="2"/>
    </row>
    <row r="37" spans="1:5" x14ac:dyDescent="0.25">
      <c r="A37" s="5"/>
      <c r="B37" s="2"/>
      <c r="C37" s="2"/>
      <c r="D37" s="2"/>
      <c r="E37" s="2"/>
    </row>
    <row r="38" spans="1:5" x14ac:dyDescent="0.25">
      <c r="A38" s="5"/>
      <c r="B38" s="2"/>
      <c r="C38" s="2"/>
      <c r="D38" s="2"/>
      <c r="E38" s="2"/>
    </row>
    <row r="39" spans="1:5" x14ac:dyDescent="0.25">
      <c r="A39" s="5"/>
      <c r="B39" s="6"/>
      <c r="C39" s="2"/>
      <c r="D39" s="2"/>
      <c r="E39" s="2"/>
    </row>
    <row r="40" spans="1:5" x14ac:dyDescent="0.25">
      <c r="A40" s="5"/>
      <c r="B40" s="6"/>
      <c r="C40" s="2"/>
      <c r="D40" s="2"/>
      <c r="E40" s="2"/>
    </row>
    <row r="41" spans="1:5" x14ac:dyDescent="0.25">
      <c r="A41" s="5"/>
      <c r="B41" s="6"/>
      <c r="C41" s="2"/>
      <c r="D41" s="2"/>
      <c r="E41" s="2"/>
    </row>
    <row r="42" spans="1:5" x14ac:dyDescent="0.25">
      <c r="A42" s="5"/>
      <c r="B42" s="6"/>
      <c r="C42" s="2"/>
      <c r="D42" s="2"/>
      <c r="E42" s="2"/>
    </row>
    <row r="43" spans="1:5" x14ac:dyDescent="0.25">
      <c r="A43" s="5"/>
      <c r="B43" s="6"/>
      <c r="C43" s="2"/>
      <c r="D43" s="2"/>
      <c r="E43" s="2"/>
    </row>
    <row r="44" spans="1:5" x14ac:dyDescent="0.25">
      <c r="A44" s="5"/>
      <c r="B44" s="6"/>
      <c r="C44" s="2"/>
      <c r="D44" s="2"/>
      <c r="E44" s="2"/>
    </row>
    <row r="45" spans="1:5" x14ac:dyDescent="0.25">
      <c r="A45" s="5"/>
      <c r="B45" s="6"/>
      <c r="C45" s="2"/>
      <c r="D45" s="2"/>
      <c r="E45" s="2"/>
    </row>
    <row r="46" spans="1:5" x14ac:dyDescent="0.25">
      <c r="A46" s="5"/>
      <c r="B46" s="6"/>
      <c r="C46" s="2"/>
      <c r="D46" s="2"/>
      <c r="E46" s="2"/>
    </row>
    <row r="47" spans="1:5" x14ac:dyDescent="0.25">
      <c r="A47" s="5"/>
      <c r="B47" s="6"/>
      <c r="C47" s="2"/>
      <c r="D47" s="2"/>
      <c r="E47" s="2"/>
    </row>
    <row r="48" spans="1:5" x14ac:dyDescent="0.25">
      <c r="A48" s="5"/>
      <c r="B48" s="6"/>
      <c r="C48" s="2"/>
      <c r="D48" s="2"/>
      <c r="E48" s="2"/>
    </row>
    <row r="49" spans="1:5" x14ac:dyDescent="0.25">
      <c r="A49" s="5"/>
      <c r="B49" s="6"/>
      <c r="C49" s="2"/>
      <c r="D49" s="2"/>
      <c r="E49" s="2"/>
    </row>
    <row r="50" spans="1:5" x14ac:dyDescent="0.25">
      <c r="A50" s="5"/>
      <c r="B50" s="6"/>
      <c r="C50" s="2"/>
      <c r="D50" s="2"/>
      <c r="E50" s="2"/>
    </row>
    <row r="51" spans="1:5" x14ac:dyDescent="0.25">
      <c r="A51" s="5"/>
      <c r="B51" s="6"/>
      <c r="C51" s="2"/>
      <c r="D51" s="2"/>
      <c r="E51" s="2"/>
    </row>
    <row r="52" spans="1:5" x14ac:dyDescent="0.25">
      <c r="A52" s="5"/>
      <c r="B52" s="6"/>
      <c r="C52" s="2"/>
      <c r="D52" s="2"/>
      <c r="E52" s="2"/>
    </row>
    <row r="53" spans="1:5" x14ac:dyDescent="0.25">
      <c r="A53" s="5"/>
      <c r="B53" s="6"/>
      <c r="C53" s="2"/>
      <c r="D53" s="2"/>
      <c r="E53" s="2"/>
    </row>
    <row r="54" spans="1:5" x14ac:dyDescent="0.25">
      <c r="A54" s="5"/>
      <c r="B54" s="6"/>
      <c r="C54" s="2"/>
      <c r="D54" s="2"/>
      <c r="E54" s="2"/>
    </row>
    <row r="55" spans="1:5" x14ac:dyDescent="0.25">
      <c r="A55" s="5"/>
      <c r="B55" s="6"/>
      <c r="C55" s="2"/>
      <c r="D55" s="2"/>
      <c r="E55" s="2"/>
    </row>
    <row r="56" spans="1:5" x14ac:dyDescent="0.25">
      <c r="A56" s="5"/>
      <c r="B56" s="6"/>
      <c r="C56" s="2"/>
      <c r="D56" s="2"/>
      <c r="E56" s="2"/>
    </row>
    <row r="57" spans="1:5" x14ac:dyDescent="0.25">
      <c r="A57" s="5"/>
      <c r="B57" s="6"/>
      <c r="C57" s="2"/>
      <c r="D57" s="2"/>
      <c r="E57" s="2"/>
    </row>
    <row r="58" spans="1:5" x14ac:dyDescent="0.25">
      <c r="A58" s="5"/>
      <c r="B58" s="6"/>
      <c r="C58" s="2"/>
      <c r="D58" s="2"/>
      <c r="E58" s="2"/>
    </row>
    <row r="59" spans="1:5" x14ac:dyDescent="0.25">
      <c r="A59" s="5"/>
      <c r="B59" s="6"/>
      <c r="C59" s="2"/>
      <c r="D59" s="2"/>
      <c r="E59" s="2"/>
    </row>
    <row r="60" spans="1:5" x14ac:dyDescent="0.25">
      <c r="A60" s="5"/>
      <c r="B60" s="6"/>
      <c r="C60" s="2"/>
      <c r="D60" s="2"/>
      <c r="E60" s="2"/>
    </row>
    <row r="61" spans="1:5" x14ac:dyDescent="0.25">
      <c r="A61" s="5"/>
      <c r="B61" s="6"/>
      <c r="C61" s="2"/>
      <c r="D61" s="2"/>
      <c r="E61" s="2"/>
    </row>
    <row r="62" spans="1:5" x14ac:dyDescent="0.25">
      <c r="A62" s="5"/>
      <c r="B62" s="6"/>
      <c r="C62" s="2"/>
      <c r="D62" s="2"/>
      <c r="E62" s="2"/>
    </row>
    <row r="63" spans="1:5" x14ac:dyDescent="0.25">
      <c r="A63" s="3"/>
      <c r="B63" s="4"/>
      <c r="C63" s="4"/>
      <c r="D63" s="4"/>
    </row>
  </sheetData>
  <pageMargins left="0.7" right="0.7" top="0.75" bottom="0.75" header="0.3" footer="0.3"/>
  <ignoredErrors>
    <ignoredError sqref="B1:E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0F183-BDD7-4985-9AD7-6DE1CC313BD6}">
  <dimension ref="A1:G32"/>
  <sheetViews>
    <sheetView workbookViewId="0">
      <pane ySplit="3" topLeftCell="A4" activePane="bottomLeft" state="frozen"/>
      <selection pane="bottomLeft" activeCell="E18" sqref="E18"/>
    </sheetView>
  </sheetViews>
  <sheetFormatPr defaultColWidth="19.140625" defaultRowHeight="15" x14ac:dyDescent="0.25"/>
  <cols>
    <col min="1" max="16384" width="19.140625" style="10"/>
  </cols>
  <sheetData>
    <row r="1" spans="1:7" ht="26.25" x14ac:dyDescent="0.25">
      <c r="A1" s="7" t="s">
        <v>8</v>
      </c>
      <c r="B1" s="7"/>
      <c r="C1" s="7"/>
      <c r="D1" s="8" t="s">
        <v>9</v>
      </c>
      <c r="E1" s="9" t="s">
        <v>8</v>
      </c>
      <c r="F1" s="9"/>
      <c r="G1" s="8" t="s">
        <v>9</v>
      </c>
    </row>
    <row r="3" spans="1:7" ht="32.25" customHeight="1" x14ac:dyDescent="0.25">
      <c r="A3" s="11" t="s">
        <v>0</v>
      </c>
      <c r="B3" s="11" t="s">
        <v>6</v>
      </c>
      <c r="C3" s="11" t="s">
        <v>7</v>
      </c>
      <c r="D3" s="12" t="s">
        <v>5</v>
      </c>
      <c r="E3" s="11" t="s">
        <v>10</v>
      </c>
      <c r="F3" s="11" t="s">
        <v>11</v>
      </c>
      <c r="G3" s="12" t="s">
        <v>12</v>
      </c>
    </row>
    <row r="4" spans="1:7" x14ac:dyDescent="0.25">
      <c r="A4" s="10">
        <v>2024</v>
      </c>
      <c r="B4" s="10">
        <v>1</v>
      </c>
      <c r="C4" s="10">
        <v>1</v>
      </c>
      <c r="D4" s="13">
        <f>IFERROR(DATE(Table13[[#This Row],[Year]],Table13[[#This Row],[Month]],Table13[[#This Row],[Day]]),"")</f>
        <v>45292</v>
      </c>
      <c r="E4" s="14">
        <v>8.9899999999999994E-2</v>
      </c>
      <c r="F4" s="14">
        <v>0.10290000000000001</v>
      </c>
      <c r="G4" s="15">
        <f>MAX(Table13[[#This Row],[COF (M-o-M)]:[ISC]])+0.3%</f>
        <v>0.10590000000000001</v>
      </c>
    </row>
    <row r="5" spans="1:7" x14ac:dyDescent="0.25">
      <c r="A5" s="10">
        <v>2024</v>
      </c>
      <c r="B5" s="10">
        <v>2</v>
      </c>
      <c r="C5" s="10">
        <v>1</v>
      </c>
      <c r="D5" s="13">
        <f>IFERROR(DATE(Table13[[#This Row],[Year]],Table13[[#This Row],[Month]],Table13[[#This Row],[Day]]),"")</f>
        <v>45323</v>
      </c>
      <c r="E5" s="14">
        <v>9.2700000000000005E-2</v>
      </c>
      <c r="F5" s="14">
        <v>0.1055</v>
      </c>
      <c r="G5" s="15">
        <f>MAX(Table13[[#This Row],[COF (M-o-M)]:[ISC]])+0.3%</f>
        <v>0.1085</v>
      </c>
    </row>
    <row r="6" spans="1:7" x14ac:dyDescent="0.25">
      <c r="A6" s="10">
        <v>2024</v>
      </c>
      <c r="B6" s="10">
        <v>3</v>
      </c>
      <c r="C6" s="10">
        <v>1</v>
      </c>
      <c r="D6" s="13">
        <f>IFERROR(DATE(Table13[[#This Row],[Year]],Table13[[#This Row],[Month]],Table13[[#This Row],[Day]]),"")</f>
        <v>45352</v>
      </c>
      <c r="E6" s="14">
        <v>9.6000000000000002E-2</v>
      </c>
      <c r="F6" s="14">
        <v>0.10879999999999999</v>
      </c>
      <c r="G6" s="15">
        <f>MAX(Table13[[#This Row],[COF (M-o-M)]:[ISC]])+0.3%</f>
        <v>0.1118</v>
      </c>
    </row>
    <row r="7" spans="1:7" x14ac:dyDescent="0.25">
      <c r="A7" s="10">
        <v>2024</v>
      </c>
      <c r="B7" s="10">
        <v>4</v>
      </c>
      <c r="C7" s="10">
        <v>1</v>
      </c>
      <c r="D7" s="13">
        <f>IFERROR(DATE(Table13[[#This Row],[Year]],Table13[[#This Row],[Month]],Table13[[#This Row],[Day]]),"")</f>
        <v>45383</v>
      </c>
      <c r="E7" s="14">
        <v>9.9099999999999994E-2</v>
      </c>
      <c r="F7" s="14">
        <v>0.1115</v>
      </c>
      <c r="G7" s="15">
        <f>MAX(Table13[[#This Row],[COF (M-o-M)]:[ISC]])+0.3%</f>
        <v>0.1145</v>
      </c>
    </row>
    <row r="8" spans="1:7" x14ac:dyDescent="0.25">
      <c r="A8" s="10">
        <v>2024</v>
      </c>
      <c r="B8" s="10">
        <v>5</v>
      </c>
      <c r="C8" s="10">
        <v>1</v>
      </c>
      <c r="D8" s="13">
        <f>IFERROR(DATE(Table13[[#This Row],[Year]],Table13[[#This Row],[Month]],Table13[[#This Row],[Day]]),"")</f>
        <v>45413</v>
      </c>
      <c r="E8" s="14">
        <v>0.1026</v>
      </c>
      <c r="F8" s="14">
        <v>0.11899999999999999</v>
      </c>
      <c r="G8" s="15">
        <f>MAX(Table13[[#This Row],[COF (M-o-M)]:[ISC]])+0.3%</f>
        <v>0.122</v>
      </c>
    </row>
    <row r="9" spans="1:7" x14ac:dyDescent="0.25">
      <c r="A9" s="10">
        <v>2024</v>
      </c>
      <c r="B9" s="10">
        <v>6</v>
      </c>
      <c r="C9" s="10">
        <v>1</v>
      </c>
      <c r="D9" s="13">
        <f>IFERROR(DATE(Table13[[#This Row],[Year]],Table13[[#This Row],[Month]],Table13[[#This Row],[Day]]),"")</f>
        <v>45444</v>
      </c>
      <c r="E9" s="14">
        <v>0.1048</v>
      </c>
      <c r="F9" s="14">
        <v>0.1235</v>
      </c>
      <c r="G9" s="15">
        <f>MAX(Table13[[#This Row],[COF (M-o-M)]:[ISC]])+0.3%</f>
        <v>0.1265</v>
      </c>
    </row>
    <row r="10" spans="1:7" x14ac:dyDescent="0.25">
      <c r="A10" s="10">
        <v>2024</v>
      </c>
      <c r="B10" s="10">
        <v>7</v>
      </c>
      <c r="C10" s="10">
        <v>1</v>
      </c>
      <c r="D10" s="13">
        <f>IFERROR(DATE(Table13[[#This Row],[Year]],Table13[[#This Row],[Month]],Table13[[#This Row],[Day]]),"")</f>
        <v>45474</v>
      </c>
      <c r="E10" s="14">
        <v>0.1074</v>
      </c>
      <c r="F10" s="14">
        <v>0.1235</v>
      </c>
      <c r="G10" s="15">
        <f>MAX(Table13[[#This Row],[COF (M-o-M)]:[ISC]])+0.3%</f>
        <v>0.1265</v>
      </c>
    </row>
    <row r="11" spans="1:7" x14ac:dyDescent="0.25">
      <c r="A11" s="10">
        <v>2024</v>
      </c>
      <c r="B11" s="10">
        <v>8</v>
      </c>
      <c r="C11" s="10">
        <v>1</v>
      </c>
      <c r="D11" s="13">
        <f>IFERROR(DATE(Table13[[#This Row],[Year]],Table13[[#This Row],[Month]],Table13[[#This Row],[Day]]),"")</f>
        <v>45505</v>
      </c>
      <c r="E11" s="14">
        <v>0.112</v>
      </c>
      <c r="F11" s="14">
        <v>0.1235</v>
      </c>
      <c r="G11" s="15">
        <f>MAX(Table13[[#This Row],[COF (M-o-M)]:[ISC]])+0.3%</f>
        <v>0.1265</v>
      </c>
    </row>
    <row r="12" spans="1:7" x14ac:dyDescent="0.25">
      <c r="A12" s="10">
        <v>2024</v>
      </c>
      <c r="B12" s="10">
        <v>9</v>
      </c>
      <c r="C12" s="10">
        <v>1</v>
      </c>
      <c r="D12" s="13">
        <f>IFERROR(DATE(Table13[[#This Row],[Year]],Table13[[#This Row],[Month]],Table13[[#This Row],[Day]]),"")</f>
        <v>45536</v>
      </c>
      <c r="E12" s="14">
        <v>0.11409999999999999</v>
      </c>
      <c r="F12" s="14">
        <v>0.1225</v>
      </c>
      <c r="G12" s="15">
        <f>MAX(Table13[[#This Row],[COF (M-o-M)]:[ISC]])+0.3%</f>
        <v>0.1255</v>
      </c>
    </row>
    <row r="13" spans="1:7" x14ac:dyDescent="0.25">
      <c r="A13" s="10">
        <v>2024</v>
      </c>
      <c r="B13" s="10">
        <v>10</v>
      </c>
      <c r="C13" s="10">
        <v>1</v>
      </c>
      <c r="D13" s="13">
        <f>IFERROR(DATE(Table13[[#This Row],[Year]],Table13[[#This Row],[Month]],Table13[[#This Row],[Day]]),"")</f>
        <v>45566</v>
      </c>
      <c r="E13" s="14">
        <v>0.1149</v>
      </c>
      <c r="F13" s="14">
        <v>0.1225</v>
      </c>
      <c r="G13" s="15">
        <f>MAX(Table13[[#This Row],[COF (M-o-M)]:[ISC]])+0.3%</f>
        <v>0.1255</v>
      </c>
    </row>
    <row r="14" spans="1:7" x14ac:dyDescent="0.25">
      <c r="A14" s="10">
        <v>2024</v>
      </c>
      <c r="B14" s="10">
        <v>11</v>
      </c>
      <c r="C14" s="10">
        <v>1</v>
      </c>
      <c r="D14" s="13">
        <f>IFERROR(DATE(Table13[[#This Row],[Year]],Table13[[#This Row],[Month]],Table13[[#This Row],[Day]]),"")</f>
        <v>45597</v>
      </c>
      <c r="E14" s="14">
        <v>0.11600000000000001</v>
      </c>
      <c r="F14" s="14">
        <v>0.1225</v>
      </c>
      <c r="G14" s="15">
        <f>MAX(Table13[[#This Row],[COF (M-o-M)]:[ISC]])+0.3%</f>
        <v>0.1255</v>
      </c>
    </row>
    <row r="15" spans="1:7" x14ac:dyDescent="0.25">
      <c r="A15" s="10">
        <v>2024</v>
      </c>
      <c r="B15" s="10">
        <v>12</v>
      </c>
      <c r="C15" s="10">
        <v>1</v>
      </c>
      <c r="D15" s="13">
        <f>IFERROR(DATE(Table13[[#This Row],[Year]],Table13[[#This Row],[Month]],Table13[[#This Row],[Day]]),"")</f>
        <v>45627</v>
      </c>
      <c r="E15" s="14">
        <v>0.11650000000000001</v>
      </c>
      <c r="F15" s="14">
        <v>0.1222</v>
      </c>
      <c r="G15" s="15">
        <f>MAX(Table13[[#This Row],[COF (M-o-M)]:[ISC]])+0.3%</f>
        <v>0.12520000000000001</v>
      </c>
    </row>
    <row r="16" spans="1:7" x14ac:dyDescent="0.25">
      <c r="A16" s="10">
        <v>2025</v>
      </c>
      <c r="B16" s="10">
        <v>1</v>
      </c>
      <c r="C16" s="10">
        <v>1</v>
      </c>
      <c r="D16" s="13">
        <f>IFERROR(DATE(Table13[[#This Row],[Year]],Table13[[#This Row],[Month]],Table13[[#This Row],[Day]]),"")</f>
        <v>45658</v>
      </c>
      <c r="E16" s="14">
        <v>0.1172</v>
      </c>
      <c r="F16" s="14">
        <v>0.12189999999999999</v>
      </c>
      <c r="G16" s="15">
        <f>MAX(Table13[[#This Row],[COF (M-o-M)]:[ISC]])+0.3%</f>
        <v>0.1249</v>
      </c>
    </row>
    <row r="17" spans="1:7" x14ac:dyDescent="0.25">
      <c r="A17" s="10">
        <v>2025</v>
      </c>
      <c r="B17" s="10">
        <v>2</v>
      </c>
      <c r="C17" s="10">
        <v>1</v>
      </c>
      <c r="D17" s="13">
        <f>IFERROR(DATE(Table13[[#This Row],[Year]],Table13[[#This Row],[Month]],Table13[[#This Row],[Day]]),"")</f>
        <v>45689</v>
      </c>
      <c r="E17" s="14">
        <v>0.1181</v>
      </c>
      <c r="F17" s="14">
        <v>0.121</v>
      </c>
      <c r="G17" s="15">
        <f>MAX(Table13[[#This Row],[COF (M-o-M)]:[ISC]])+0.3%</f>
        <v>0.124</v>
      </c>
    </row>
    <row r="18" spans="1:7" x14ac:dyDescent="0.25">
      <c r="A18" s="10">
        <v>2025</v>
      </c>
      <c r="B18" s="10">
        <v>3</v>
      </c>
      <c r="C18" s="10">
        <v>1</v>
      </c>
      <c r="D18" s="13">
        <f>IFERROR(DATE(Table13[[#This Row],[Year]],Table13[[#This Row],[Month]],Table13[[#This Row],[Day]]),"")</f>
        <v>45717</v>
      </c>
      <c r="E18" s="14">
        <v>0.1182</v>
      </c>
      <c r="F18" s="14">
        <v>0.121</v>
      </c>
      <c r="G18" s="15">
        <f>MAX(Table13[[#This Row],[COF (M-o-M)]:[ISC]])+0.3%</f>
        <v>0.124</v>
      </c>
    </row>
    <row r="19" spans="1:7" x14ac:dyDescent="0.25">
      <c r="A19" s="10">
        <v>2025</v>
      </c>
      <c r="B19" s="10">
        <v>4</v>
      </c>
      <c r="C19" s="10">
        <v>1</v>
      </c>
      <c r="D19" s="13">
        <f>IFERROR(DATE(Table13[[#This Row],[Year]],Table13[[#This Row],[Month]],Table13[[#This Row],[Day]]),"")</f>
        <v>45748</v>
      </c>
      <c r="E19" s="14">
        <v>0.11799999999999999</v>
      </c>
      <c r="F19" s="14">
        <v>0.12</v>
      </c>
      <c r="G19" s="15">
        <f>MAX(Table13[[#This Row],[COF (M-o-M)]:[ISC]])+0.3%</f>
        <v>0.123</v>
      </c>
    </row>
    <row r="20" spans="1:7" x14ac:dyDescent="0.25">
      <c r="A20" s="10">
        <v>2025</v>
      </c>
      <c r="B20" s="10">
        <v>5</v>
      </c>
      <c r="C20" s="10">
        <v>1</v>
      </c>
      <c r="D20" s="13">
        <f>IFERROR(DATE(Table13[[#This Row],[Year]],Table13[[#This Row],[Month]],Table13[[#This Row],[Day]]),"")</f>
        <v>45778</v>
      </c>
      <c r="E20" s="14">
        <v>0.11840000000000001</v>
      </c>
      <c r="F20" s="14">
        <v>0.12</v>
      </c>
      <c r="G20" s="15">
        <f>MAX(Table13[[#This Row],[COF (M-o-M)]:[ISC]])+0.3%</f>
        <v>0.123</v>
      </c>
    </row>
    <row r="21" spans="1:7" x14ac:dyDescent="0.25">
      <c r="A21" s="10">
        <v>2025</v>
      </c>
      <c r="B21" s="10">
        <v>6</v>
      </c>
      <c r="C21" s="10">
        <v>1</v>
      </c>
      <c r="D21" s="13">
        <f>IFERROR(DATE(Table13[[#This Row],[Year]],Table13[[#This Row],[Month]],Table13[[#This Row],[Day]]),"")</f>
        <v>45809</v>
      </c>
      <c r="E21" s="14">
        <v>0.11840000000000001</v>
      </c>
      <c r="F21" s="14">
        <v>0.12</v>
      </c>
      <c r="G21" s="15">
        <f>MAX(Table13[[#This Row],[COF (M-o-M)]:[ISC]])+0.3%</f>
        <v>0.123</v>
      </c>
    </row>
    <row r="22" spans="1:7" x14ac:dyDescent="0.25">
      <c r="A22" s="10">
        <v>2025</v>
      </c>
      <c r="B22" s="10">
        <v>7</v>
      </c>
      <c r="C22" s="10">
        <v>1</v>
      </c>
      <c r="D22" s="13">
        <f>IFERROR(DATE(Table13[[#This Row],[Year]],Table13[[#This Row],[Month]],Table13[[#This Row],[Day]]),"")</f>
        <v>45839</v>
      </c>
      <c r="E22" s="14">
        <v>0.11849999999999999</v>
      </c>
      <c r="F22" s="14">
        <v>0.12</v>
      </c>
      <c r="G22" s="15">
        <f>MAX(Table13[[#This Row],[COF (M-o-M)]:[ISC]])+0.3%</f>
        <v>0.123</v>
      </c>
    </row>
    <row r="23" spans="1:7" x14ac:dyDescent="0.25">
      <c r="A23" s="10">
        <v>2025</v>
      </c>
      <c r="B23" s="10">
        <v>8</v>
      </c>
      <c r="C23" s="10">
        <v>1</v>
      </c>
      <c r="D23" s="13">
        <f>IFERROR(DATE(Table13[[#This Row],[Year]],Table13[[#This Row],[Month]],Table13[[#This Row],[Day]]),"")</f>
        <v>45870</v>
      </c>
      <c r="E23" s="14">
        <v>0.1181</v>
      </c>
      <c r="F23" s="14">
        <v>0.11849999999999999</v>
      </c>
      <c r="G23" s="15">
        <f>MAX(Table13[[#This Row],[COF (M-o-M)]:[ISC]])+0.3%</f>
        <v>0.1215</v>
      </c>
    </row>
    <row r="24" spans="1:7" x14ac:dyDescent="0.25">
      <c r="A24" s="10">
        <v>2025</v>
      </c>
      <c r="B24" s="10">
        <v>9</v>
      </c>
      <c r="C24" s="10">
        <v>1</v>
      </c>
      <c r="D24" s="13">
        <f>IFERROR(DATE(Table13[[#This Row],[Year]],Table13[[#This Row],[Month]],Table13[[#This Row],[Day]]),"")</f>
        <v>45901</v>
      </c>
      <c r="E24" s="14">
        <v>0.11749999999999999</v>
      </c>
      <c r="F24" s="14">
        <v>0.11600000000000001</v>
      </c>
      <c r="G24" s="15">
        <f>MAX(Table13[[#This Row],[COF (M-o-M)]:[ISC]])+0.3%</f>
        <v>0.1205</v>
      </c>
    </row>
    <row r="25" spans="1:7" x14ac:dyDescent="0.25">
      <c r="A25" s="10">
        <v>2025</v>
      </c>
      <c r="B25" s="10">
        <v>10</v>
      </c>
      <c r="C25" s="10">
        <v>1</v>
      </c>
      <c r="D25" s="13">
        <f>IFERROR(DATE(Table13[[#This Row],[Year]],Table13[[#This Row],[Month]],Table13[[#This Row],[Day]]),"")</f>
        <v>45931</v>
      </c>
      <c r="E25" s="14">
        <v>0.1166</v>
      </c>
      <c r="F25" s="14">
        <v>0.111</v>
      </c>
      <c r="G25" s="15">
        <f>MAX(Table13[[#This Row],[COF (M-o-M)]:[ISC]])+0.3%</f>
        <v>0.1196</v>
      </c>
    </row>
    <row r="26" spans="1:7" x14ac:dyDescent="0.25">
      <c r="A26" s="10">
        <v>2025</v>
      </c>
      <c r="B26" s="10">
        <v>11</v>
      </c>
      <c r="C26" s="10">
        <v>1</v>
      </c>
      <c r="D26" s="13">
        <f>IFERROR(DATE(Table13[[#This Row],[Year]],Table13[[#This Row],[Month]],Table13[[#This Row],[Day]]),"")</f>
        <v>45962</v>
      </c>
      <c r="E26" s="14">
        <v>0.11509999999999999</v>
      </c>
      <c r="F26" s="14">
        <v>0.107</v>
      </c>
      <c r="G26" s="15">
        <f>MAX(Table13[[#This Row],[COF (M-o-M)]:[ISC]])+0.3%</f>
        <v>0.1181</v>
      </c>
    </row>
    <row r="27" spans="1:7" x14ac:dyDescent="0.25">
      <c r="A27" s="10">
        <v>2025</v>
      </c>
      <c r="B27" s="10">
        <v>12</v>
      </c>
      <c r="C27" s="10">
        <v>1</v>
      </c>
      <c r="D27" s="13">
        <f>IFERROR(DATE(Table13[[#This Row],[Year]],Table13[[#This Row],[Month]],Table13[[#This Row],[Day]]),"")</f>
        <v>45992</v>
      </c>
      <c r="E27" s="14">
        <v>0.1132</v>
      </c>
      <c r="F27" s="14">
        <v>0.1071</v>
      </c>
      <c r="G27" s="15">
        <f>MAX(Table13[[#This Row],[COF (M-o-M)]:[ISC]])+0.3%</f>
        <v>0.1162</v>
      </c>
    </row>
    <row r="28" spans="1:7" x14ac:dyDescent="0.25">
      <c r="A28" s="10">
        <v>2026</v>
      </c>
      <c r="B28" s="10">
        <v>1</v>
      </c>
      <c r="C28" s="10">
        <v>1</v>
      </c>
      <c r="D28" s="13">
        <f>IFERROR(DATE(Table13[[#This Row],[Year]],Table13[[#This Row],[Month]],Table13[[#This Row],[Day]]),"")</f>
        <v>46023</v>
      </c>
      <c r="E28" s="14">
        <v>0.1116</v>
      </c>
      <c r="F28" s="14">
        <v>0.1069</v>
      </c>
      <c r="G28" s="15">
        <f>MAX(Table13[[#This Row],[COF (M-o-M)]:[ISC]])+0.3%</f>
        <v>0.11460000000000001</v>
      </c>
    </row>
    <row r="29" spans="1:7" x14ac:dyDescent="0.25">
      <c r="A29" s="10">
        <v>2026</v>
      </c>
      <c r="B29" s="10">
        <v>2</v>
      </c>
      <c r="C29" s="10">
        <v>1</v>
      </c>
      <c r="D29" s="13">
        <f>IFERROR(DATE(Table13[[#This Row],[Year]],Table13[[#This Row],[Month]],Table13[[#This Row],[Day]]),"")</f>
        <v>46054</v>
      </c>
      <c r="E29" s="14">
        <v>0.1103</v>
      </c>
      <c r="F29" s="14">
        <v>0.1067</v>
      </c>
      <c r="G29" s="15">
        <f>MAX(Table13[[#This Row],[COF (M-o-M)]:[ISC]])+0.3%</f>
        <v>0.1133</v>
      </c>
    </row>
    <row r="30" spans="1:7" x14ac:dyDescent="0.25">
      <c r="A30" s="10">
        <v>2026</v>
      </c>
      <c r="B30" s="10">
        <v>3</v>
      </c>
      <c r="C30" s="10">
        <v>1</v>
      </c>
      <c r="D30" s="13">
        <f>IFERROR(DATE(Table13[[#This Row],[Year]],Table13[[#This Row],[Month]],Table13[[#This Row],[Day]]),"")</f>
        <v>46082</v>
      </c>
      <c r="E30" s="14">
        <v>0.1089</v>
      </c>
      <c r="F30" s="14">
        <v>0.10589999999999999</v>
      </c>
      <c r="G30" s="15">
        <f>MAX(Table13[[#This Row],[COF (M-o-M)]:[ISC]])+0.3%</f>
        <v>0.1119</v>
      </c>
    </row>
    <row r="31" spans="1:7" x14ac:dyDescent="0.25">
      <c r="A31" s="10">
        <v>2026</v>
      </c>
      <c r="B31" s="10">
        <v>4</v>
      </c>
      <c r="C31" s="10">
        <v>1</v>
      </c>
      <c r="D31" s="13">
        <f>IFERROR(DATE(Table13[[#This Row],[Year]],Table13[[#This Row],[Month]],Table13[[#This Row],[Day]]),"")</f>
        <v>46113</v>
      </c>
      <c r="E31" s="14">
        <v>0.108</v>
      </c>
      <c r="F31" s="14">
        <v>0.1055</v>
      </c>
      <c r="G31" s="15">
        <f>MAX(Table13[[#This Row],[COF (M-o-M)]:[ISC]])+0.3%</f>
        <v>0.111</v>
      </c>
    </row>
    <row r="32" spans="1:7" x14ac:dyDescent="0.25">
      <c r="A32" s="10">
        <v>2026</v>
      </c>
      <c r="B32" s="10">
        <v>5</v>
      </c>
      <c r="C32" s="10">
        <v>1</v>
      </c>
      <c r="D32" s="13">
        <f>IFERROR(DATE(Table13[[#This Row],[Year]],Table13[[#This Row],[Month]],Table13[[#This Row],[Day]]),"")</f>
        <v>46143</v>
      </c>
      <c r="E32" s="14">
        <v>0.1072</v>
      </c>
      <c r="F32" s="14">
        <v>0.1062</v>
      </c>
      <c r="G32" s="15">
        <f>MAX(Table13[[#This Row],[COF (M-o-M)]:[ISC]])+0.3%</f>
        <v>0.11020000000000001</v>
      </c>
    </row>
  </sheetData>
  <mergeCells count="2">
    <mergeCell ref="A1:C1"/>
    <mergeCell ref="E1:F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COF_ISC_LAYERS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MAHFUZ RAHI</cp:lastModifiedBy>
  <dcterms:modified xsi:type="dcterms:W3CDTF">2026-06-22T03:20:09Z</dcterms:modified>
</cp:coreProperties>
</file>
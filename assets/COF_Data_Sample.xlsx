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ahfuzul\Download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D16" i="1"/>
  <c r="D5" i="1"/>
  <c r="G5" i="1"/>
  <c r="D6" i="1"/>
  <c r="G6" i="1"/>
  <c r="D7" i="1"/>
  <c r="G7" i="1"/>
  <c r="D8" i="1"/>
  <c r="G8" i="1"/>
  <c r="D9" i="1"/>
  <c r="G9" i="1"/>
  <c r="D10" i="1"/>
  <c r="G10" i="1"/>
  <c r="D11" i="1"/>
  <c r="G11" i="1"/>
  <c r="D12" i="1"/>
  <c r="G12" i="1"/>
  <c r="D13" i="1"/>
  <c r="G13" i="1"/>
  <c r="D14" i="1"/>
  <c r="G14" i="1"/>
  <c r="D15" i="1"/>
  <c r="G15" i="1"/>
  <c r="D23" i="1" l="1"/>
  <c r="G23" i="1"/>
  <c r="D24" i="1"/>
  <c r="G24" i="1"/>
  <c r="D25" i="1"/>
  <c r="G25" i="1"/>
  <c r="D26" i="1"/>
  <c r="G26" i="1"/>
  <c r="D27" i="1"/>
  <c r="G27" i="1"/>
  <c r="G28" i="1"/>
  <c r="D28" i="1"/>
  <c r="D17" i="1"/>
  <c r="G17" i="1"/>
  <c r="D18" i="1"/>
  <c r="G18" i="1"/>
  <c r="D19" i="1"/>
  <c r="G19" i="1"/>
  <c r="D20" i="1"/>
  <c r="G20" i="1"/>
  <c r="D21" i="1"/>
  <c r="G21" i="1"/>
  <c r="D22" i="1"/>
  <c r="G22" i="1"/>
  <c r="G4" i="1" l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D4" i="1"/>
  <c r="D29" i="1"/>
  <c r="D30" i="1"/>
  <c r="D31" i="1"/>
  <c r="D34" i="1"/>
  <c r="D32" i="1"/>
  <c r="D33" i="1"/>
  <c r="D54" i="1"/>
  <c r="D55" i="1"/>
  <c r="D56" i="1"/>
  <c r="D53" i="1"/>
  <c r="D52" i="1"/>
  <c r="D42" i="1"/>
  <c r="D43" i="1"/>
  <c r="D44" i="1"/>
  <c r="D45" i="1"/>
  <c r="D46" i="1"/>
  <c r="D47" i="1"/>
  <c r="D48" i="1"/>
  <c r="D49" i="1"/>
  <c r="D50" i="1"/>
  <c r="D51" i="1"/>
  <c r="D41" i="1"/>
  <c r="D40" i="1"/>
  <c r="D39" i="1"/>
  <c r="D38" i="1" l="1"/>
  <c r="D37" i="1"/>
  <c r="D36" i="1"/>
  <c r="D35" i="1"/>
</calcChain>
</file>

<file path=xl/sharedStrings.xml><?xml version="1.0" encoding="utf-8"?>
<sst xmlns="http://schemas.openxmlformats.org/spreadsheetml/2006/main" count="11" uniqueCount="9">
  <si>
    <t>Year</t>
  </si>
  <si>
    <t>Month</t>
  </si>
  <si>
    <t>Day</t>
  </si>
  <si>
    <t>Date</t>
  </si>
  <si>
    <t>ISC</t>
  </si>
  <si>
    <t>Eligible COF</t>
  </si>
  <si>
    <t>COF (M-o-M)</t>
  </si>
  <si>
    <t>Do Not Edit</t>
  </si>
  <si>
    <t>Input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</si>
</sst>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5">
    <dxf>
      <numFmt numFmtId="14" formatCode="0.00%"/>
    </dxf>
    <dxf>
      <numFmt numFmtId="14" formatCode="0.00%"/>
    </dxf>
    <dxf>
      <numFmt numFmtId="14" formatCode="0.00%"/>
    </dxf>
    <dxf>
      <numFmt numFmtId="164" formatCode="[$-409]d\-mmm\-yy;@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56" totalsRowShown="0" headerRowDxfId="4">
  <autoFilter ref="A3:G56"/>
  <tableColumns count="7">
    <tableColumn id="1" name="Year"/>
    <tableColumn id="2" name="Month"/>
    <tableColumn id="3" name="Day"/>
    <tableColumn id="4" name="Date" dataDxfId="3">
      <calculatedColumnFormula>IFERROR(DATE(Table1[[#This Row],[Year]],Table1[[#This Row],[Month]],Table1[[#This Row],[Day]]),"")</calculatedColumnFormula>
    </tableColumn>
    <tableColumn id="5" name="COF (M-o-M)" dataDxfId="2" dataCellStyle="Percent"/>
    <tableColumn id="6" name="ISC" dataDxfId="1" dataCellStyle="Percent"/>
    <tableColumn id="7" name="Eligible COF" dataDxfId="0">
      <calculatedColumnFormula>MAX(Table1[[#This Row],[COF (M-o-M)]:[ISC]])+0.3%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abSelected="1" workbookViewId="0">
      <pane ySplit="3" topLeftCell="A4" activePane="bottomLeft" state="frozen"/>
      <selection pane="bottomLeft" activeCell="H10" sqref="H10"/>
    </sheetView>
  </sheetViews>
  <sheetFormatPr defaultColWidth="19.140625" defaultRowHeight="15" x14ac:dyDescent="0.25"/>
  <sheetData>
    <row r="1" spans="1:7" ht="26.25" x14ac:dyDescent="0.25">
      <c r="A1" s="7" t="s">
        <v>8</v>
      </c>
      <c r="B1" s="7"/>
      <c r="C1" s="7"/>
      <c r="D1" s="6" t="s">
        <v>7</v>
      </c>
      <c r="E1" s="8" t="s">
        <v>8</v>
      </c>
      <c r="F1" s="8"/>
      <c r="G1" s="6" t="s">
        <v>7</v>
      </c>
    </row>
    <row r="3" spans="1:7" ht="32.25" customHeight="1" x14ac:dyDescent="0.25">
      <c r="A3" s="4" t="s">
        <v>0</v>
      </c>
      <c r="B3" s="4" t="s">
        <v>1</v>
      </c>
      <c r="C3" s="4" t="s">
        <v>2</v>
      </c>
      <c r="D3" s="5" t="s">
        <v>3</v>
      </c>
      <c r="E3" s="4" t="s">
        <v>6</v>
      </c>
      <c r="F3" s="4" t="s">
        <v>4</v>
      </c>
      <c r="G3" s="5" t="s">
        <v>5</v>
      </c>
    </row>
    <row r="4" spans="1:7" x14ac:dyDescent="0.25">
      <c r="A4">
        <v>2022</v>
      </c>
      <c r="B4">
        <v>1</v>
      </c>
      <c r="C4">
        <v>1</v>
      </c>
      <c r="D4" s="1">
        <f>IFERROR(DATE(Table1[[#This Row],[Year]],Table1[[#This Row],[Month]],Table1[[#This Row],[Day]]),"")</f>
        <v>44562</v>
      </c>
      <c r="E4" s="2">
        <v>6.0299999999999999E-2</v>
      </c>
      <c r="F4" s="2">
        <v>6.3299999999999995E-2</v>
      </c>
      <c r="G4" s="3">
        <f>MAX(Table1[[#This Row],[COF (M-o-M)]:[ISC]])+0.3%</f>
        <v>6.6299999999999998E-2</v>
      </c>
    </row>
    <row r="5" spans="1:7" x14ac:dyDescent="0.25">
      <c r="A5">
        <v>2022</v>
      </c>
      <c r="B5">
        <v>2</v>
      </c>
      <c r="C5">
        <v>1</v>
      </c>
      <c r="D5" s="1">
        <f>IFERROR(DATE(Table1[[#This Row],[Year]],Table1[[#This Row],[Month]],Table1[[#This Row],[Day]]),"")</f>
        <v>44593</v>
      </c>
      <c r="E5" s="2">
        <v>6.1499999999999999E-2</v>
      </c>
      <c r="F5" s="2">
        <v>6.4199999999999993E-2</v>
      </c>
      <c r="G5" s="3">
        <f>MAX(Table1[[#This Row],[COF (M-o-M)]:[ISC]])+0.3%</f>
        <v>6.7199999999999996E-2</v>
      </c>
    </row>
    <row r="6" spans="1:7" x14ac:dyDescent="0.25">
      <c r="A6">
        <v>2022</v>
      </c>
      <c r="B6">
        <v>3</v>
      </c>
      <c r="C6">
        <v>1</v>
      </c>
      <c r="D6" s="1">
        <f>IFERROR(DATE(Table1[[#This Row],[Year]],Table1[[#This Row],[Month]],Table1[[#This Row],[Day]]),"")</f>
        <v>44621</v>
      </c>
      <c r="E6" s="2">
        <v>6.2100000000000002E-2</v>
      </c>
      <c r="F6" s="2">
        <v>6.7299999999999999E-2</v>
      </c>
      <c r="G6" s="3">
        <f>MAX(Table1[[#This Row],[COF (M-o-M)]:[ISC]])+0.3%</f>
        <v>7.0300000000000001E-2</v>
      </c>
    </row>
    <row r="7" spans="1:7" x14ac:dyDescent="0.25">
      <c r="A7">
        <v>2022</v>
      </c>
      <c r="B7">
        <v>4</v>
      </c>
      <c r="C7">
        <v>1</v>
      </c>
      <c r="D7" s="1">
        <f>IFERROR(DATE(Table1[[#This Row],[Year]],Table1[[#This Row],[Month]],Table1[[#This Row],[Day]]),"")</f>
        <v>44652</v>
      </c>
      <c r="E7" s="2">
        <v>6.3100000000000003E-2</v>
      </c>
      <c r="F7" s="2">
        <v>6.9900000000000004E-2</v>
      </c>
      <c r="G7" s="3">
        <f>MAX(Table1[[#This Row],[COF (M-o-M)]:[ISC]])+0.3%</f>
        <v>7.2900000000000006E-2</v>
      </c>
    </row>
    <row r="8" spans="1:7" x14ac:dyDescent="0.25">
      <c r="A8">
        <v>2022</v>
      </c>
      <c r="B8">
        <v>5</v>
      </c>
      <c r="C8">
        <v>1</v>
      </c>
      <c r="D8" s="1">
        <f>IFERROR(DATE(Table1[[#This Row],[Year]],Table1[[#This Row],[Month]],Table1[[#This Row],[Day]]),"")</f>
        <v>44682</v>
      </c>
      <c r="E8" s="2">
        <v>6.3899999999999998E-2</v>
      </c>
      <c r="F8" s="2">
        <v>6.9500000000000006E-2</v>
      </c>
      <c r="G8" s="3">
        <f>MAX(Table1[[#This Row],[COF (M-o-M)]:[ISC]])+0.3%</f>
        <v>7.2500000000000009E-2</v>
      </c>
    </row>
    <row r="9" spans="1:7" x14ac:dyDescent="0.25">
      <c r="A9">
        <v>2022</v>
      </c>
      <c r="B9">
        <v>6</v>
      </c>
      <c r="C9">
        <v>1</v>
      </c>
      <c r="D9" s="1">
        <f>IFERROR(DATE(Table1[[#This Row],[Year]],Table1[[#This Row],[Month]],Table1[[#This Row],[Day]]),"")</f>
        <v>44713</v>
      </c>
      <c r="E9" s="2">
        <v>6.4600000000000005E-2</v>
      </c>
      <c r="F9" s="2">
        <v>7.0099999999999996E-2</v>
      </c>
      <c r="G9" s="3">
        <f>MAX(Table1[[#This Row],[COF (M-o-M)]:[ISC]])+0.3%</f>
        <v>7.3099999999999998E-2</v>
      </c>
    </row>
    <row r="10" spans="1:7" x14ac:dyDescent="0.25">
      <c r="A10">
        <v>2022</v>
      </c>
      <c r="B10">
        <v>7</v>
      </c>
      <c r="C10">
        <v>1</v>
      </c>
      <c r="D10" s="1">
        <f>IFERROR(DATE(Table1[[#This Row],[Year]],Table1[[#This Row],[Month]],Table1[[#This Row],[Day]]),"")</f>
        <v>44743</v>
      </c>
      <c r="E10" s="2">
        <v>6.5799999999999997E-2</v>
      </c>
      <c r="F10" s="2">
        <v>6.9800000000000001E-2</v>
      </c>
      <c r="G10" s="3">
        <f>MAX(Table1[[#This Row],[COF (M-o-M)]:[ISC]])+0.3%</f>
        <v>7.2800000000000004E-2</v>
      </c>
    </row>
    <row r="11" spans="1:7" x14ac:dyDescent="0.25">
      <c r="A11">
        <v>2022</v>
      </c>
      <c r="B11">
        <v>8</v>
      </c>
      <c r="C11">
        <v>1</v>
      </c>
      <c r="D11" s="1">
        <f>IFERROR(DATE(Table1[[#This Row],[Year]],Table1[[#This Row],[Month]],Table1[[#This Row],[Day]]),"")</f>
        <v>44774</v>
      </c>
      <c r="E11" s="2">
        <v>6.6900000000000001E-2</v>
      </c>
      <c r="F11" s="2">
        <v>6.9500000000000006E-2</v>
      </c>
      <c r="G11" s="3">
        <f>MAX(Table1[[#This Row],[COF (M-o-M)]:[ISC]])+0.3%</f>
        <v>7.2500000000000009E-2</v>
      </c>
    </row>
    <row r="12" spans="1:7" x14ac:dyDescent="0.25">
      <c r="A12">
        <v>2022</v>
      </c>
      <c r="B12">
        <v>9</v>
      </c>
      <c r="C12">
        <v>1</v>
      </c>
      <c r="D12" s="1">
        <f>IFERROR(DATE(Table1[[#This Row],[Year]],Table1[[#This Row],[Month]],Table1[[#This Row],[Day]]),"")</f>
        <v>44805</v>
      </c>
      <c r="E12" s="2">
        <v>6.7400000000000002E-2</v>
      </c>
      <c r="F12" s="2">
        <v>7.2700000000000001E-2</v>
      </c>
      <c r="G12" s="3">
        <f>MAX(Table1[[#This Row],[COF (M-o-M)]:[ISC]])+0.3%</f>
        <v>7.5700000000000003E-2</v>
      </c>
    </row>
    <row r="13" spans="1:7" x14ac:dyDescent="0.25">
      <c r="A13">
        <v>2022</v>
      </c>
      <c r="B13">
        <v>10</v>
      </c>
      <c r="C13">
        <v>1</v>
      </c>
      <c r="D13" s="1">
        <f>IFERROR(DATE(Table1[[#This Row],[Year]],Table1[[#This Row],[Month]],Table1[[#This Row],[Day]]),"")</f>
        <v>44835</v>
      </c>
      <c r="E13" s="2">
        <v>6.8000000000000005E-2</v>
      </c>
      <c r="F13" s="2">
        <v>6.9800000000000001E-2</v>
      </c>
      <c r="G13" s="3">
        <f>MAX(Table1[[#This Row],[COF (M-o-M)]:[ISC]])+0.3%</f>
        <v>7.2800000000000004E-2</v>
      </c>
    </row>
    <row r="14" spans="1:7" x14ac:dyDescent="0.25">
      <c r="A14">
        <v>2022</v>
      </c>
      <c r="B14">
        <v>11</v>
      </c>
      <c r="C14">
        <v>1</v>
      </c>
      <c r="D14" s="1">
        <f>IFERROR(DATE(Table1[[#This Row],[Year]],Table1[[#This Row],[Month]],Table1[[#This Row],[Day]]),"")</f>
        <v>44866</v>
      </c>
      <c r="E14" s="2">
        <v>6.8699999999999997E-2</v>
      </c>
      <c r="F14" s="2">
        <v>7.1499999999999994E-2</v>
      </c>
      <c r="G14" s="3">
        <f>MAX(Table1[[#This Row],[COF (M-o-M)]:[ISC]])+0.3%</f>
        <v>7.4499999999999997E-2</v>
      </c>
    </row>
    <row r="15" spans="1:7" x14ac:dyDescent="0.25">
      <c r="A15">
        <v>2022</v>
      </c>
      <c r="B15">
        <v>12</v>
      </c>
      <c r="C15">
        <v>1</v>
      </c>
      <c r="D15" s="1">
        <f>IFERROR(DATE(Table1[[#This Row],[Year]],Table1[[#This Row],[Month]],Table1[[#This Row],[Day]]),"")</f>
        <v>44896</v>
      </c>
      <c r="E15" s="2">
        <v>6.93E-2</v>
      </c>
      <c r="F15" s="2">
        <v>7.3999999999999996E-2</v>
      </c>
      <c r="G15" s="3">
        <f>MAX(Table1[[#This Row],[COF (M-o-M)]:[ISC]])+0.3%</f>
        <v>7.6999999999999999E-2</v>
      </c>
    </row>
    <row r="16" spans="1:7" x14ac:dyDescent="0.25">
      <c r="A16">
        <v>2023</v>
      </c>
      <c r="B16">
        <v>1</v>
      </c>
      <c r="C16">
        <v>1</v>
      </c>
      <c r="D16" s="1">
        <f>IFERROR(DATE(Table1[[#This Row],[Year]],Table1[[#This Row],[Month]],Table1[[#This Row],[Day]]),"")</f>
        <v>44927</v>
      </c>
      <c r="E16" s="2">
        <v>6.9800000000000001E-2</v>
      </c>
      <c r="F16" s="2">
        <v>7.2300000000000003E-2</v>
      </c>
      <c r="G16" s="3">
        <f>MAX(Table1[[#This Row],[COF (M-o-M)]:[ISC]])+0.3%</f>
        <v>7.5300000000000006E-2</v>
      </c>
    </row>
    <row r="17" spans="1:7" x14ac:dyDescent="0.25">
      <c r="A17">
        <v>2023</v>
      </c>
      <c r="B17">
        <v>2</v>
      </c>
      <c r="C17">
        <v>1</v>
      </c>
      <c r="D17" s="1">
        <f>IFERROR(DATE(Table1[[#This Row],[Year]],Table1[[#This Row],[Month]],Table1[[#This Row],[Day]]),"")</f>
        <v>44958</v>
      </c>
      <c r="E17" s="2">
        <v>7.0800000000000002E-2</v>
      </c>
      <c r="F17" s="2">
        <v>7.0900000000000005E-2</v>
      </c>
      <c r="G17" s="3">
        <f>MAX(Table1[[#This Row],[COF (M-o-M)]:[ISC]])+0.3%</f>
        <v>7.3900000000000007E-2</v>
      </c>
    </row>
    <row r="18" spans="1:7" x14ac:dyDescent="0.25">
      <c r="A18">
        <v>2023</v>
      </c>
      <c r="B18">
        <v>3</v>
      </c>
      <c r="C18">
        <v>1</v>
      </c>
      <c r="D18" s="1">
        <f>IFERROR(DATE(Table1[[#This Row],[Year]],Table1[[#This Row],[Month]],Table1[[#This Row],[Day]]),"")</f>
        <v>44986</v>
      </c>
      <c r="E18" s="2">
        <v>7.1599999999999997E-2</v>
      </c>
      <c r="F18" s="2">
        <v>7.9200000000000007E-2</v>
      </c>
      <c r="G18" s="3">
        <f>MAX(Table1[[#This Row],[COF (M-o-M)]:[ISC]])+0.3%</f>
        <v>8.2200000000000009E-2</v>
      </c>
    </row>
    <row r="19" spans="1:7" x14ac:dyDescent="0.25">
      <c r="A19">
        <v>2023</v>
      </c>
      <c r="B19">
        <v>4</v>
      </c>
      <c r="C19">
        <v>1</v>
      </c>
      <c r="D19" s="1">
        <f>IFERROR(DATE(Table1[[#This Row],[Year]],Table1[[#This Row],[Month]],Table1[[#This Row],[Day]]),"")</f>
        <v>45017</v>
      </c>
      <c r="E19" s="2">
        <v>7.3099999999999998E-2</v>
      </c>
      <c r="F19" s="2">
        <v>7.8899999999999998E-2</v>
      </c>
      <c r="G19" s="3">
        <f>MAX(Table1[[#This Row],[COF (M-o-M)]:[ISC]])+0.3%</f>
        <v>8.1900000000000001E-2</v>
      </c>
    </row>
    <row r="20" spans="1:7" x14ac:dyDescent="0.25">
      <c r="A20">
        <v>2023</v>
      </c>
      <c r="B20">
        <v>5</v>
      </c>
      <c r="C20">
        <v>1</v>
      </c>
      <c r="D20" s="1">
        <f>IFERROR(DATE(Table1[[#This Row],[Year]],Table1[[#This Row],[Month]],Table1[[#This Row],[Day]]),"")</f>
        <v>45047</v>
      </c>
      <c r="E20" s="2">
        <v>7.4999999999999997E-2</v>
      </c>
      <c r="F20" s="2">
        <v>7.7899999999999997E-2</v>
      </c>
      <c r="G20" s="3">
        <f>MAX(Table1[[#This Row],[COF (M-o-M)]:[ISC]])+0.3%</f>
        <v>8.09E-2</v>
      </c>
    </row>
    <row r="21" spans="1:7" x14ac:dyDescent="0.25">
      <c r="A21">
        <v>2023</v>
      </c>
      <c r="B21">
        <v>6</v>
      </c>
      <c r="C21">
        <v>1</v>
      </c>
      <c r="D21" s="1">
        <f>IFERROR(DATE(Table1[[#This Row],[Year]],Table1[[#This Row],[Month]],Table1[[#This Row],[Day]]),"")</f>
        <v>45078</v>
      </c>
      <c r="E21" s="2">
        <v>7.5499999999999998E-2</v>
      </c>
      <c r="F21" s="2">
        <v>7.9299999999999995E-2</v>
      </c>
      <c r="G21" s="3">
        <f>MAX(Table1[[#This Row],[COF (M-o-M)]:[ISC]])+0.3%</f>
        <v>8.2299999999999998E-2</v>
      </c>
    </row>
    <row r="22" spans="1:7" x14ac:dyDescent="0.25">
      <c r="A22">
        <v>2023</v>
      </c>
      <c r="B22">
        <v>7</v>
      </c>
      <c r="C22">
        <v>1</v>
      </c>
      <c r="D22" s="1">
        <f>IFERROR(DATE(Table1[[#This Row],[Year]],Table1[[#This Row],[Month]],Table1[[#This Row],[Day]]),"")</f>
        <v>45108</v>
      </c>
      <c r="E22" s="2">
        <v>7.6899999999999996E-2</v>
      </c>
      <c r="F22" s="2">
        <v>8.4400000000000003E-2</v>
      </c>
      <c r="G22" s="3">
        <f>MAX(Table1[[#This Row],[COF (M-o-M)]:[ISC]])+0.3%</f>
        <v>8.7400000000000005E-2</v>
      </c>
    </row>
    <row r="23" spans="1:7" x14ac:dyDescent="0.25">
      <c r="A23">
        <v>2023</v>
      </c>
      <c r="B23">
        <v>8</v>
      </c>
      <c r="C23">
        <v>1</v>
      </c>
      <c r="D23" s="1">
        <f>IFERROR(DATE(Table1[[#This Row],[Year]],Table1[[#This Row],[Month]],Table1[[#This Row],[Day]]),"")</f>
        <v>45139</v>
      </c>
      <c r="E23" s="2">
        <v>7.7899999999999997E-2</v>
      </c>
      <c r="F23" s="2">
        <v>8.3799999999999999E-2</v>
      </c>
      <c r="G23" s="3">
        <f>MAX(Table1[[#This Row],[COF (M-o-M)]:[ISC]])+0.3%</f>
        <v>8.6800000000000002E-2</v>
      </c>
    </row>
    <row r="24" spans="1:7" x14ac:dyDescent="0.25">
      <c r="A24">
        <v>2023</v>
      </c>
      <c r="B24">
        <v>9</v>
      </c>
      <c r="C24">
        <v>1</v>
      </c>
      <c r="D24" s="1">
        <f>IFERROR(DATE(Table1[[#This Row],[Year]],Table1[[#This Row],[Month]],Table1[[#This Row],[Day]]),"")</f>
        <v>45170</v>
      </c>
      <c r="E24" s="2">
        <v>7.8299999999999995E-2</v>
      </c>
      <c r="F24" s="2">
        <v>8.3000000000000004E-2</v>
      </c>
      <c r="G24" s="3">
        <f>MAX(Table1[[#This Row],[COF (M-o-M)]:[ISC]])+0.3%</f>
        <v>8.6000000000000007E-2</v>
      </c>
    </row>
    <row r="25" spans="1:7" x14ac:dyDescent="0.25">
      <c r="A25">
        <v>2023</v>
      </c>
      <c r="B25">
        <v>10</v>
      </c>
      <c r="C25">
        <v>1</v>
      </c>
      <c r="D25" s="1">
        <f>IFERROR(DATE(Table1[[#This Row],[Year]],Table1[[#This Row],[Month]],Table1[[#This Row],[Day]]),"")</f>
        <v>45200</v>
      </c>
      <c r="E25" s="2">
        <v>8.0199999999999994E-2</v>
      </c>
      <c r="F25" s="2">
        <v>8.7400000000000005E-2</v>
      </c>
      <c r="G25" s="3">
        <f>MAX(Table1[[#This Row],[COF (M-o-M)]:[ISC]])+0.3%</f>
        <v>9.0400000000000008E-2</v>
      </c>
    </row>
    <row r="26" spans="1:7" x14ac:dyDescent="0.25">
      <c r="A26">
        <v>2023</v>
      </c>
      <c r="B26">
        <v>11</v>
      </c>
      <c r="C26">
        <v>1</v>
      </c>
      <c r="D26" s="1">
        <f>IFERROR(DATE(Table1[[#This Row],[Year]],Table1[[#This Row],[Month]],Table1[[#This Row],[Day]]),"")</f>
        <v>45231</v>
      </c>
      <c r="E26" s="2">
        <v>8.3400000000000002E-2</v>
      </c>
      <c r="F26" s="2">
        <v>9.2799999999999994E-2</v>
      </c>
      <c r="G26" s="3">
        <f>MAX(Table1[[#This Row],[COF (M-o-M)]:[ISC]])+0.3%</f>
        <v>9.5799999999999996E-2</v>
      </c>
    </row>
    <row r="27" spans="1:7" x14ac:dyDescent="0.25">
      <c r="A27">
        <v>2023</v>
      </c>
      <c r="B27">
        <v>12</v>
      </c>
      <c r="C27">
        <v>1</v>
      </c>
      <c r="D27" s="1">
        <f>IFERROR(DATE(Table1[[#This Row],[Year]],Table1[[#This Row],[Month]],Table1[[#This Row],[Day]]),"")</f>
        <v>45261</v>
      </c>
      <c r="E27" s="2">
        <v>8.6099999999999996E-2</v>
      </c>
      <c r="F27" s="2">
        <v>9.7900000000000001E-2</v>
      </c>
      <c r="G27" s="3">
        <f>MAX(Table1[[#This Row],[COF (M-o-M)]:[ISC]])+0.3%</f>
        <v>0.1009</v>
      </c>
    </row>
    <row r="28" spans="1:7" x14ac:dyDescent="0.25">
      <c r="A28">
        <v>2024</v>
      </c>
      <c r="B28">
        <v>1</v>
      </c>
      <c r="C28">
        <v>1</v>
      </c>
      <c r="D28" s="1">
        <f>IFERROR(DATE(Table1[[#This Row],[Year]],Table1[[#This Row],[Month]],Table1[[#This Row],[Day]]),"")</f>
        <v>45292</v>
      </c>
      <c r="E28" s="2">
        <v>8.9899999999999994E-2</v>
      </c>
      <c r="F28" s="2">
        <v>0.10290000000000001</v>
      </c>
      <c r="G28" s="3">
        <f>MAX(Table1[[#This Row],[COF (M-o-M)]:[ISC]])+0.3%</f>
        <v>0.10590000000000001</v>
      </c>
    </row>
    <row r="29" spans="1:7" x14ac:dyDescent="0.25">
      <c r="A29">
        <v>2024</v>
      </c>
      <c r="B29">
        <v>2</v>
      </c>
      <c r="C29">
        <v>1</v>
      </c>
      <c r="D29" s="1">
        <f>IFERROR(DATE(Table1[[#This Row],[Year]],Table1[[#This Row],[Month]],Table1[[#This Row],[Day]]),"")</f>
        <v>45323</v>
      </c>
      <c r="E29" s="2">
        <v>9.2700000000000005E-2</v>
      </c>
      <c r="F29" s="2">
        <v>0.1055</v>
      </c>
      <c r="G29" s="3">
        <f>MAX(Table1[[#This Row],[COF (M-o-M)]:[ISC]])+0.3%</f>
        <v>0.1085</v>
      </c>
    </row>
    <row r="30" spans="1:7" x14ac:dyDescent="0.25">
      <c r="A30">
        <v>2024</v>
      </c>
      <c r="B30">
        <v>3</v>
      </c>
      <c r="C30">
        <v>1</v>
      </c>
      <c r="D30" s="1">
        <f>IFERROR(DATE(Table1[[#This Row],[Year]],Table1[[#This Row],[Month]],Table1[[#This Row],[Day]]),"")</f>
        <v>45352</v>
      </c>
      <c r="E30" s="2">
        <v>9.6000000000000002E-2</v>
      </c>
      <c r="F30" s="2">
        <v>0.10879999999999999</v>
      </c>
      <c r="G30" s="3">
        <f>MAX(Table1[[#This Row],[COF (M-o-M)]:[ISC]])+0.3%</f>
        <v>0.1118</v>
      </c>
    </row>
    <row r="31" spans="1:7" x14ac:dyDescent="0.25">
      <c r="A31">
        <v>2024</v>
      </c>
      <c r="B31">
        <v>4</v>
      </c>
      <c r="C31">
        <v>1</v>
      </c>
      <c r="D31" s="1">
        <f>IFERROR(DATE(Table1[[#This Row],[Year]],Table1[[#This Row],[Month]],Table1[[#This Row],[Day]]),"")</f>
        <v>45383</v>
      </c>
      <c r="E31" s="2">
        <v>9.9099999999999994E-2</v>
      </c>
      <c r="F31" s="2">
        <v>0.1115</v>
      </c>
      <c r="G31" s="3">
        <f>MAX(Table1[[#This Row],[COF (M-o-M)]:[ISC]])+0.3%</f>
        <v>0.1145</v>
      </c>
    </row>
    <row r="32" spans="1:7" x14ac:dyDescent="0.25">
      <c r="A32">
        <v>2024</v>
      </c>
      <c r="B32">
        <v>5</v>
      </c>
      <c r="C32">
        <v>1</v>
      </c>
      <c r="D32" s="1">
        <f>IFERROR(DATE(Table1[[#This Row],[Year]],Table1[[#This Row],[Month]],Table1[[#This Row],[Day]]),"")</f>
        <v>45413</v>
      </c>
      <c r="E32" s="2">
        <v>0.1026</v>
      </c>
      <c r="F32" s="2">
        <v>0.11899999999999999</v>
      </c>
      <c r="G32" s="3">
        <f>MAX(Table1[[#This Row],[COF (M-o-M)]:[ISC]])+0.3%</f>
        <v>0.122</v>
      </c>
    </row>
    <row r="33" spans="1:7" x14ac:dyDescent="0.25">
      <c r="A33">
        <v>2024</v>
      </c>
      <c r="B33">
        <v>6</v>
      </c>
      <c r="C33">
        <v>1</v>
      </c>
      <c r="D33" s="1">
        <f>IFERROR(DATE(Table1[[#This Row],[Year]],Table1[[#This Row],[Month]],Table1[[#This Row],[Day]]),"")</f>
        <v>45444</v>
      </c>
      <c r="E33" s="2">
        <v>0.1048</v>
      </c>
      <c r="F33" s="2">
        <v>0.1235</v>
      </c>
      <c r="G33" s="3">
        <f>MAX(Table1[[#This Row],[COF (M-o-M)]:[ISC]])+0.3%</f>
        <v>0.1265</v>
      </c>
    </row>
    <row r="34" spans="1:7" x14ac:dyDescent="0.25">
      <c r="A34">
        <v>2024</v>
      </c>
      <c r="B34">
        <v>7</v>
      </c>
      <c r="C34">
        <v>1</v>
      </c>
      <c r="D34" s="1">
        <f>IFERROR(DATE(Table1[[#This Row],[Year]],Table1[[#This Row],[Month]],Table1[[#This Row],[Day]]),"")</f>
        <v>45474</v>
      </c>
      <c r="E34" s="2">
        <v>0.1074</v>
      </c>
      <c r="F34" s="2">
        <v>0.1235</v>
      </c>
      <c r="G34" s="3">
        <f>MAX(Table1[[#This Row],[COF (M-o-M)]:[ISC]])+0.3%</f>
        <v>0.1265</v>
      </c>
    </row>
    <row r="35" spans="1:7" x14ac:dyDescent="0.25">
      <c r="A35">
        <v>2024</v>
      </c>
      <c r="B35">
        <v>8</v>
      </c>
      <c r="C35">
        <v>1</v>
      </c>
      <c r="D35" s="1">
        <f>IFERROR(DATE(Table1[[#This Row],[Year]],Table1[[#This Row],[Month]],Table1[[#This Row],[Day]]),"")</f>
        <v>45505</v>
      </c>
      <c r="E35" s="2">
        <v>0.112</v>
      </c>
      <c r="F35" s="2">
        <v>0.1235</v>
      </c>
      <c r="G35" s="3">
        <f>MAX(Table1[[#This Row],[COF (M-o-M)]:[ISC]])+0.3%</f>
        <v>0.1265</v>
      </c>
    </row>
    <row r="36" spans="1:7" x14ac:dyDescent="0.25">
      <c r="A36">
        <v>2024</v>
      </c>
      <c r="B36">
        <v>9</v>
      </c>
      <c r="C36">
        <v>1</v>
      </c>
      <c r="D36" s="1">
        <f>IFERROR(DATE(Table1[[#This Row],[Year]],Table1[[#This Row],[Month]],Table1[[#This Row],[Day]]),"")</f>
        <v>45536</v>
      </c>
      <c r="E36" s="2">
        <v>0.11409999999999999</v>
      </c>
      <c r="F36" s="2">
        <v>0.1225</v>
      </c>
      <c r="G36" s="3">
        <f>MAX(Table1[[#This Row],[COF (M-o-M)]:[ISC]])+0.3%</f>
        <v>0.1255</v>
      </c>
    </row>
    <row r="37" spans="1:7" x14ac:dyDescent="0.25">
      <c r="A37">
        <v>2024</v>
      </c>
      <c r="B37">
        <v>10</v>
      </c>
      <c r="C37">
        <v>1</v>
      </c>
      <c r="D37" s="1">
        <f>IFERROR(DATE(Table1[[#This Row],[Year]],Table1[[#This Row],[Month]],Table1[[#This Row],[Day]]),"")</f>
        <v>45566</v>
      </c>
      <c r="E37" s="2">
        <v>0.1149</v>
      </c>
      <c r="F37" s="2">
        <v>0.1225</v>
      </c>
      <c r="G37" s="3">
        <f>MAX(Table1[[#This Row],[COF (M-o-M)]:[ISC]])+0.3%</f>
        <v>0.1255</v>
      </c>
    </row>
    <row r="38" spans="1:7" x14ac:dyDescent="0.25">
      <c r="A38">
        <v>2024</v>
      </c>
      <c r="B38">
        <v>11</v>
      </c>
      <c r="C38">
        <v>1</v>
      </c>
      <c r="D38" s="1">
        <f>IFERROR(DATE(Table1[[#This Row],[Year]],Table1[[#This Row],[Month]],Table1[[#This Row],[Day]]),"")</f>
        <v>45597</v>
      </c>
      <c r="E38" s="2">
        <v>0.11600000000000001</v>
      </c>
      <c r="F38" s="2">
        <v>0.1225</v>
      </c>
      <c r="G38" s="3">
        <f>MAX(Table1[[#This Row],[COF (M-o-M)]:[ISC]])+0.3%</f>
        <v>0.1255</v>
      </c>
    </row>
    <row r="39" spans="1:7" x14ac:dyDescent="0.25">
      <c r="A39">
        <v>2024</v>
      </c>
      <c r="B39">
        <v>12</v>
      </c>
      <c r="C39">
        <v>1</v>
      </c>
      <c r="D39" s="1">
        <f>IFERROR(DATE(Table1[[#This Row],[Year]],Table1[[#This Row],[Month]],Table1[[#This Row],[Day]]),"")</f>
        <v>45627</v>
      </c>
      <c r="E39" s="2">
        <v>0.11650000000000001</v>
      </c>
      <c r="F39" s="2">
        <v>0.1222</v>
      </c>
      <c r="G39" s="3">
        <f>MAX(Table1[[#This Row],[COF (M-o-M)]:[ISC]])+0.3%</f>
        <v>0.12520000000000001</v>
      </c>
    </row>
    <row r="40" spans="1:7" x14ac:dyDescent="0.25">
      <c r="A40">
        <v>2025</v>
      </c>
      <c r="B40">
        <v>1</v>
      </c>
      <c r="C40">
        <v>1</v>
      </c>
      <c r="D40" s="1">
        <f>IFERROR(DATE(Table1[[#This Row],[Year]],Table1[[#This Row],[Month]],Table1[[#This Row],[Day]]),"")</f>
        <v>45658</v>
      </c>
      <c r="E40" s="2">
        <v>0.1172</v>
      </c>
      <c r="F40" s="2">
        <v>0.12189999999999999</v>
      </c>
      <c r="G40" s="3">
        <f>MAX(Table1[[#This Row],[COF (M-o-M)]:[ISC]])+0.3%</f>
        <v>0.1249</v>
      </c>
    </row>
    <row r="41" spans="1:7" x14ac:dyDescent="0.25">
      <c r="A41">
        <v>2025</v>
      </c>
      <c r="B41">
        <v>2</v>
      </c>
      <c r="C41">
        <v>1</v>
      </c>
      <c r="D41" s="1">
        <f>IFERROR(DATE(Table1[[#This Row],[Year]],Table1[[#This Row],[Month]],Table1[[#This Row],[Day]]),"")</f>
        <v>45689</v>
      </c>
      <c r="E41" s="2">
        <v>0.1181</v>
      </c>
      <c r="F41" s="2">
        <v>0.121</v>
      </c>
      <c r="G41" s="3">
        <f>MAX(Table1[[#This Row],[COF (M-o-M)]:[ISC]])+0.3%</f>
        <v>0.124</v>
      </c>
    </row>
    <row r="42" spans="1:7" x14ac:dyDescent="0.25">
      <c r="A42">
        <v>2025</v>
      </c>
      <c r="B42">
        <v>3</v>
      </c>
      <c r="C42">
        <v>1</v>
      </c>
      <c r="D42" s="1">
        <f>IFERROR(DATE(Table1[[#This Row],[Year]],Table1[[#This Row],[Month]],Table1[[#This Row],[Day]]),"")</f>
        <v>45717</v>
      </c>
      <c r="E42" s="2">
        <v>0.1182</v>
      </c>
      <c r="F42" s="2">
        <v>0.121</v>
      </c>
      <c r="G42" s="3">
        <f>MAX(Table1[[#This Row],[COF (M-o-M)]:[ISC]])+0.3%</f>
        <v>0.124</v>
      </c>
    </row>
    <row r="43" spans="1:7" x14ac:dyDescent="0.25">
      <c r="A43">
        <v>2025</v>
      </c>
      <c r="B43">
        <v>4</v>
      </c>
      <c r="C43">
        <v>1</v>
      </c>
      <c r="D43" s="1">
        <f>IFERROR(DATE(Table1[[#This Row],[Year]],Table1[[#This Row],[Month]],Table1[[#This Row],[Day]]),"")</f>
        <v>45748</v>
      </c>
      <c r="E43" s="2">
        <v>0.11799999999999999</v>
      </c>
      <c r="F43" s="2">
        <v>0.12</v>
      </c>
      <c r="G43" s="3">
        <f>MAX(Table1[[#This Row],[COF (M-o-M)]:[ISC]])+0.3%</f>
        <v>0.123</v>
      </c>
    </row>
    <row r="44" spans="1:7" x14ac:dyDescent="0.25">
      <c r="A44">
        <v>2025</v>
      </c>
      <c r="B44">
        <v>5</v>
      </c>
      <c r="C44">
        <v>1</v>
      </c>
      <c r="D44" s="1">
        <f>IFERROR(DATE(Table1[[#This Row],[Year]],Table1[[#This Row],[Month]],Table1[[#This Row],[Day]]),"")</f>
        <v>45778</v>
      </c>
      <c r="E44" s="2">
        <v>0.11840000000000001</v>
      </c>
      <c r="F44" s="2">
        <v>0.12</v>
      </c>
      <c r="G44" s="3">
        <f>MAX(Table1[[#This Row],[COF (M-o-M)]:[ISC]])+0.3%</f>
        <v>0.123</v>
      </c>
    </row>
    <row r="45" spans="1:7" x14ac:dyDescent="0.25">
      <c r="A45">
        <v>2025</v>
      </c>
      <c r="B45">
        <v>6</v>
      </c>
      <c r="C45">
        <v>1</v>
      </c>
      <c r="D45" s="1">
        <f>IFERROR(DATE(Table1[[#This Row],[Year]],Table1[[#This Row],[Month]],Table1[[#This Row],[Day]]),"")</f>
        <v>45809</v>
      </c>
      <c r="E45" s="2">
        <v>0.11840000000000001</v>
      </c>
      <c r="F45" s="2">
        <v>0.12</v>
      </c>
      <c r="G45" s="3">
        <f>MAX(Table1[[#This Row],[COF (M-o-M)]:[ISC]])+0.3%</f>
        <v>0.123</v>
      </c>
    </row>
    <row r="46" spans="1:7" x14ac:dyDescent="0.25">
      <c r="A46">
        <v>2025</v>
      </c>
      <c r="B46">
        <v>7</v>
      </c>
      <c r="C46">
        <v>1</v>
      </c>
      <c r="D46" s="1">
        <f>IFERROR(DATE(Table1[[#This Row],[Year]],Table1[[#This Row],[Month]],Table1[[#This Row],[Day]]),"")</f>
        <v>45839</v>
      </c>
      <c r="E46" s="2">
        <v>0.11849999999999999</v>
      </c>
      <c r="F46" s="2">
        <v>0.12</v>
      </c>
      <c r="G46" s="3">
        <f>MAX(Table1[[#This Row],[COF (M-o-M)]:[ISC]])+0.3%</f>
        <v>0.123</v>
      </c>
    </row>
    <row r="47" spans="1:7" x14ac:dyDescent="0.25">
      <c r="A47">
        <v>2025</v>
      </c>
      <c r="B47">
        <v>8</v>
      </c>
      <c r="C47">
        <v>1</v>
      </c>
      <c r="D47" s="1">
        <f>IFERROR(DATE(Table1[[#This Row],[Year]],Table1[[#This Row],[Month]],Table1[[#This Row],[Day]]),"")</f>
        <v>45870</v>
      </c>
      <c r="E47" s="2">
        <v>0.1181</v>
      </c>
      <c r="F47" s="2">
        <v>0.11849999999999999</v>
      </c>
      <c r="G47" s="3">
        <f>MAX(Table1[[#This Row],[COF (M-o-M)]:[ISC]])+0.3%</f>
        <v>0.1215</v>
      </c>
    </row>
    <row r="48" spans="1:7" x14ac:dyDescent="0.25">
      <c r="A48">
        <v>2025</v>
      </c>
      <c r="B48">
        <v>9</v>
      </c>
      <c r="C48">
        <v>1</v>
      </c>
      <c r="D48" s="1">
        <f>IFERROR(DATE(Table1[[#This Row],[Year]],Table1[[#This Row],[Month]],Table1[[#This Row],[Day]]),"")</f>
        <v>45901</v>
      </c>
      <c r="E48" s="2">
        <v>0.11749999999999999</v>
      </c>
      <c r="F48" s="2">
        <v>0.11600000000000001</v>
      </c>
      <c r="G48" s="3">
        <f>MAX(Table1[[#This Row],[COF (M-o-M)]:[ISC]])+0.3%</f>
        <v>0.1205</v>
      </c>
    </row>
    <row r="49" spans="1:7" x14ac:dyDescent="0.25">
      <c r="A49">
        <v>2025</v>
      </c>
      <c r="B49">
        <v>10</v>
      </c>
      <c r="C49">
        <v>1</v>
      </c>
      <c r="D49" s="1">
        <f>IFERROR(DATE(Table1[[#This Row],[Year]],Table1[[#This Row],[Month]],Table1[[#This Row],[Day]]),"")</f>
        <v>45931</v>
      </c>
      <c r="E49" s="2">
        <v>0.1166</v>
      </c>
      <c r="F49" s="2">
        <v>0.111</v>
      </c>
      <c r="G49" s="3">
        <f>MAX(Table1[[#This Row],[COF (M-o-M)]:[ISC]])+0.3%</f>
        <v>0.1196</v>
      </c>
    </row>
    <row r="50" spans="1:7" x14ac:dyDescent="0.25">
      <c r="A50">
        <v>2025</v>
      </c>
      <c r="B50">
        <v>11</v>
      </c>
      <c r="C50">
        <v>1</v>
      </c>
      <c r="D50" s="1">
        <f>IFERROR(DATE(Table1[[#This Row],[Year]],Table1[[#This Row],[Month]],Table1[[#This Row],[Day]]),"")</f>
        <v>45962</v>
      </c>
      <c r="E50" s="2">
        <v>0.11509999999999999</v>
      </c>
      <c r="F50" s="2">
        <v>0.107</v>
      </c>
      <c r="G50" s="3">
        <f>MAX(Table1[[#This Row],[COF (M-o-M)]:[ISC]])+0.3%</f>
        <v>0.1181</v>
      </c>
    </row>
    <row r="51" spans="1:7" x14ac:dyDescent="0.25">
      <c r="A51">
        <v>2025</v>
      </c>
      <c r="B51">
        <v>12</v>
      </c>
      <c r="C51">
        <v>1</v>
      </c>
      <c r="D51" s="1">
        <f>IFERROR(DATE(Table1[[#This Row],[Year]],Table1[[#This Row],[Month]],Table1[[#This Row],[Day]]),"")</f>
        <v>45992</v>
      </c>
      <c r="E51" s="2">
        <v>0.1132</v>
      </c>
      <c r="F51" s="2">
        <v>0.1071</v>
      </c>
      <c r="G51" s="3">
        <f>MAX(Table1[[#This Row],[COF (M-o-M)]:[ISC]])+0.3%</f>
        <v>0.1162</v>
      </c>
    </row>
    <row r="52" spans="1:7" x14ac:dyDescent="0.25">
      <c r="A52">
        <v>2026</v>
      </c>
      <c r="B52">
        <v>1</v>
      </c>
      <c r="C52">
        <v>1</v>
      </c>
      <c r="D52" s="1">
        <f>IFERROR(DATE(Table1[[#This Row],[Year]],Table1[[#This Row],[Month]],Table1[[#This Row],[Day]]),"")</f>
        <v>46023</v>
      </c>
      <c r="E52" s="2">
        <v>0.1116</v>
      </c>
      <c r="F52" s="2">
        <v>0.1069</v>
      </c>
      <c r="G52" s="3">
        <f>MAX(Table1[[#This Row],[COF (M-o-M)]:[ISC]])+0.3%</f>
        <v>0.11460000000000001</v>
      </c>
    </row>
    <row r="53" spans="1:7" x14ac:dyDescent="0.25">
      <c r="A53">
        <v>2026</v>
      </c>
      <c r="B53">
        <v>2</v>
      </c>
      <c r="C53">
        <v>1</v>
      </c>
      <c r="D53" s="1">
        <f>IFERROR(DATE(Table1[[#This Row],[Year]],Table1[[#This Row],[Month]],Table1[[#This Row],[Day]]),"")</f>
        <v>46054</v>
      </c>
      <c r="E53" s="2">
        <v>0.1103</v>
      </c>
      <c r="F53" s="2">
        <v>0.1067</v>
      </c>
      <c r="G53" s="3">
        <f>MAX(Table1[[#This Row],[COF (M-o-M)]:[ISC]])+0.3%</f>
        <v>0.1133</v>
      </c>
    </row>
    <row r="54" spans="1:7" x14ac:dyDescent="0.25">
      <c r="A54">
        <v>2026</v>
      </c>
      <c r="B54">
        <v>3</v>
      </c>
      <c r="C54">
        <v>1</v>
      </c>
      <c r="D54" s="1">
        <f>IFERROR(DATE(Table1[[#This Row],[Year]],Table1[[#This Row],[Month]],Table1[[#This Row],[Day]]),"")</f>
        <v>46082</v>
      </c>
      <c r="E54" s="2">
        <v>0.1089</v>
      </c>
      <c r="F54" s="2">
        <v>0.10589999999999999</v>
      </c>
      <c r="G54" s="3">
        <f>MAX(Table1[[#This Row],[COF (M-o-M)]:[ISC]])+0.3%</f>
        <v>0.1119</v>
      </c>
    </row>
    <row r="55" spans="1:7" x14ac:dyDescent="0.25">
      <c r="A55">
        <v>2026</v>
      </c>
      <c r="B55">
        <v>4</v>
      </c>
      <c r="C55">
        <v>1</v>
      </c>
      <c r="D55" s="1">
        <f>IFERROR(DATE(Table1[[#This Row],[Year]],Table1[[#This Row],[Month]],Table1[[#This Row],[Day]]),"")</f>
        <v>46113</v>
      </c>
      <c r="E55" s="2">
        <v>0.108</v>
      </c>
      <c r="F55" s="2">
        <v>0.1055</v>
      </c>
      <c r="G55" s="3">
        <f>MAX(Table1[[#This Row],[COF (M-o-M)]:[ISC]])+0.3%</f>
        <v>0.111</v>
      </c>
    </row>
    <row r="56" spans="1:7" x14ac:dyDescent="0.25">
      <c r="A56">
        <v>2026</v>
      </c>
      <c r="B56">
        <v>5</v>
      </c>
      <c r="C56">
        <v>1</v>
      </c>
      <c r="D56" s="1">
        <f>IFERROR(DATE(Table1[[#This Row],[Year]],Table1[[#This Row],[Month]],Table1[[#This Row],[Day]]),"")</f>
        <v>46143</v>
      </c>
      <c r="E56" s="2">
        <v>0.1072</v>
      </c>
      <c r="F56" s="2">
        <v>0.1062</v>
      </c>
      <c r="G56" s="3">
        <f>MAX(Table1[[#This Row],[COF (M-o-M)]:[ISC]])+0.3%</f>
        <v>0.11020000000000001</v>
      </c>
    </row>
  </sheetData>
  <mergeCells count="2">
    <mergeCell ref="A1:C1"/>
    <mergeCell ref="E1:F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 RAHI</dc:creator>
  <cp:lastModifiedBy>Mahfuzul Islam</cp:lastModifiedBy>
  <dcterms:created xsi:type="dcterms:W3CDTF">2015-06-05T18:17:20Z</dcterms:created>
  <dcterms:modified xsi:type="dcterms:W3CDTF">2026-06-24T13:55:50Z</dcterms:modified>
</cp:coreProperties>
</file>
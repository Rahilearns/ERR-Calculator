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My Career\AI Models\Claude\ERR Calculator\"/>
    </mc:Choice>
  </mc:AlternateContent>
  <xr:revisionPtr revIDLastSave="0" documentId="13_ncr:1_{ADBD1DA4-3FFB-4CF2-9D27-AFB97FDA66F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D4" i="1"/>
  <c r="D5" i="1"/>
  <c r="D6" i="1"/>
  <c r="D7" i="1"/>
  <c r="D10" i="1"/>
  <c r="D8" i="1"/>
  <c r="D9" i="1"/>
  <c r="D30" i="1"/>
  <c r="D31" i="1"/>
  <c r="D32" i="1"/>
  <c r="D29" i="1"/>
  <c r="D28" i="1"/>
  <c r="D18" i="1"/>
  <c r="D19" i="1"/>
  <c r="D20" i="1"/>
  <c r="D21" i="1"/>
  <c r="D22" i="1"/>
  <c r="D23" i="1"/>
  <c r="D24" i="1"/>
  <c r="D25" i="1"/>
  <c r="D26" i="1"/>
  <c r="D27" i="1"/>
  <c r="D17" i="1"/>
  <c r="D16" i="1"/>
  <c r="D15" i="1"/>
  <c r="D14" i="1" l="1"/>
  <c r="D13" i="1"/>
  <c r="D12" i="1"/>
  <c r="D11" i="1"/>
</calcChain>
</file>

<file path=xl/sharedStrings.xml><?xml version="1.0" encoding="utf-8"?>
<sst xmlns="http://schemas.openxmlformats.org/spreadsheetml/2006/main" count="11" uniqueCount="9">
  <si>
    <t>Year</t>
  </si>
  <si>
    <t>Month</t>
  </si>
  <si>
    <t>Day</t>
  </si>
  <si>
    <t>Date</t>
  </si>
  <si>
    <t>ISC</t>
  </si>
  <si>
    <t>Eligible COF</t>
  </si>
  <si>
    <t>COF (M-o-M)</t>
  </si>
  <si>
    <t>Do Not Edit</t>
  </si>
  <si>
    <t>Input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</si>
</sst>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0" fontId="2" fillId="0" borderId="0" xfId="0" applyFont="1" applyAlignment="1">
      <alignment horizontal="center" vertical="top"/>
    </xf>
    <xf numFmtId="0" fontId="2" fillId="2" borderId="0" xfId="0" applyFont="1" applyFill="1" applyAlignment="1">
      <alignment horizontal="center" vertical="top"/>
    </xf>
    <xf numFmtId="0" fontId="3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5">
    <dxf>
      <numFmt numFmtId="14" formatCode="0.00%"/>
    </dxf>
    <dxf>
      <numFmt numFmtId="14" formatCode="0.00%"/>
    </dxf>
    <dxf>
      <numFmt numFmtId="14" formatCode="0.00%"/>
    </dxf>
    <dxf>
      <numFmt numFmtId="164" formatCode="[$-409]d\-mmm\-yy;@"/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G32" totalsRowShown="0" headerRowDxfId="4">
  <autoFilter ref="A3:G32" xr:uid="{00000000-0009-0000-0100-000001000000}"/>
  <tableColumns count="7">
    <tableColumn id="1" xr3:uid="{00000000-0010-0000-0000-000001000000}" name="Year"/>
    <tableColumn id="2" xr3:uid="{00000000-0010-0000-0000-000002000000}" name="Month"/>
    <tableColumn id="3" xr3:uid="{00000000-0010-0000-0000-000003000000}" name="Day"/>
    <tableColumn id="4" xr3:uid="{00000000-0010-0000-0000-000004000000}" name="Date" dataDxfId="3">
      <calculatedColumnFormula>IFERROR(DATE(Table1[[#This Row],[Year]],Table1[[#This Row],[Month]],Table1[[#This Row],[Day]]),"")</calculatedColumnFormula>
    </tableColumn>
    <tableColumn id="5" xr3:uid="{00000000-0010-0000-0000-000005000000}" name="COF (M-o-M)" dataDxfId="2" dataCellStyle="Percent"/>
    <tableColumn id="6" xr3:uid="{7D7FC888-124E-4B22-8EDC-00D52619BD80}" name="ISC" dataDxfId="1" dataCellStyle="Percent"/>
    <tableColumn id="7" xr3:uid="{6FE2EDEA-AEA6-450D-BEBD-BDA95487BAB9}" name="Eligible COF" dataDxfId="0">
      <calculatedColumnFormula>MAX(Table1[[#This Row],[COF (M-o-M)]:[ISC]])+0.3%</calculatedColumnFormula>
    </tableColumn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abSelected="1" workbookViewId="0">
      <pane ySplit="3" topLeftCell="A4" activePane="bottomLeft" state="frozen"/>
      <selection pane="bottomLeft" activeCell="F36" sqref="F36"/>
    </sheetView>
  </sheetViews>
  <sheetFormatPr defaultColWidth="19.140625" defaultRowHeight="15" x14ac:dyDescent="0.25"/>
  <sheetData>
    <row r="1" spans="1:7" ht="26.25" x14ac:dyDescent="0.25">
      <c r="A1" s="8" t="s">
        <v>8</v>
      </c>
      <c r="B1" s="8"/>
      <c r="C1" s="8"/>
      <c r="D1" s="6" t="s">
        <v>7</v>
      </c>
      <c r="E1" s="7" t="s">
        <v>8</v>
      </c>
      <c r="F1" s="7"/>
      <c r="G1" s="6" t="s">
        <v>7</v>
      </c>
    </row>
    <row r="3" spans="1:7" ht="32.25" customHeight="1" x14ac:dyDescent="0.25">
      <c r="A3" s="4" t="s">
        <v>0</v>
      </c>
      <c r="B3" s="4" t="s">
        <v>1</v>
      </c>
      <c r="C3" s="4" t="s">
        <v>2</v>
      </c>
      <c r="D3" s="5" t="s">
        <v>3</v>
      </c>
      <c r="E3" s="4" t="s">
        <v>6</v>
      </c>
      <c r="F3" s="4" t="s">
        <v>4</v>
      </c>
      <c r="G3" s="5" t="s">
        <v>5</v>
      </c>
    </row>
    <row r="4" spans="1:7" x14ac:dyDescent="0.25">
      <c r="A4">
        <v>2024</v>
      </c>
      <c r="B4">
        <v>1</v>
      </c>
      <c r="C4">
        <v>1</v>
      </c>
      <c r="D4" s="1">
        <f>IFERROR(DATE(Table1[[#This Row],[Year]],Table1[[#This Row],[Month]],Table1[[#This Row],[Day]]),"")</f>
        <v>45292</v>
      </c>
      <c r="E4" s="2">
        <v>8.9899999999999994E-2</v>
      </c>
      <c r="F4" s="2">
        <v>0.10290000000000001</v>
      </c>
      <c r="G4" s="3">
        <f>MAX(Table1[[#This Row],[COF (M-o-M)]:[ISC]])+0.3%</f>
        <v>0.10590000000000001</v>
      </c>
    </row>
    <row r="5" spans="1:7" x14ac:dyDescent="0.25">
      <c r="A5">
        <v>2024</v>
      </c>
      <c r="B5">
        <v>2</v>
      </c>
      <c r="C5">
        <v>1</v>
      </c>
      <c r="D5" s="1">
        <f>IFERROR(DATE(Table1[[#This Row],[Year]],Table1[[#This Row],[Month]],Table1[[#This Row],[Day]]),"")</f>
        <v>45323</v>
      </c>
      <c r="E5" s="2">
        <v>9.2700000000000005E-2</v>
      </c>
      <c r="F5" s="2">
        <v>0.1055</v>
      </c>
      <c r="G5" s="3">
        <f>MAX(Table1[[#This Row],[COF (M-o-M)]:[ISC]])+0.3%</f>
        <v>0.1085</v>
      </c>
    </row>
    <row r="6" spans="1:7" x14ac:dyDescent="0.25">
      <c r="A6">
        <v>2024</v>
      </c>
      <c r="B6">
        <v>3</v>
      </c>
      <c r="C6">
        <v>1</v>
      </c>
      <c r="D6" s="1">
        <f>IFERROR(DATE(Table1[[#This Row],[Year]],Table1[[#This Row],[Month]],Table1[[#This Row],[Day]]),"")</f>
        <v>45352</v>
      </c>
      <c r="E6" s="2">
        <v>9.6000000000000002E-2</v>
      </c>
      <c r="F6" s="2">
        <v>0.10879999999999999</v>
      </c>
      <c r="G6" s="3">
        <f>MAX(Table1[[#This Row],[COF (M-o-M)]:[ISC]])+0.3%</f>
        <v>0.1118</v>
      </c>
    </row>
    <row r="7" spans="1:7" x14ac:dyDescent="0.25">
      <c r="A7">
        <v>2024</v>
      </c>
      <c r="B7">
        <v>4</v>
      </c>
      <c r="C7">
        <v>1</v>
      </c>
      <c r="D7" s="1">
        <f>IFERROR(DATE(Table1[[#This Row],[Year]],Table1[[#This Row],[Month]],Table1[[#This Row],[Day]]),"")</f>
        <v>45383</v>
      </c>
      <c r="E7" s="2">
        <v>9.9099999999999994E-2</v>
      </c>
      <c r="F7" s="2">
        <v>0.1115</v>
      </c>
      <c r="G7" s="3">
        <f>MAX(Table1[[#This Row],[COF (M-o-M)]:[ISC]])+0.3%</f>
        <v>0.1145</v>
      </c>
    </row>
    <row r="8" spans="1:7" x14ac:dyDescent="0.25">
      <c r="A8">
        <v>2024</v>
      </c>
      <c r="B8">
        <v>5</v>
      </c>
      <c r="C8">
        <v>1</v>
      </c>
      <c r="D8" s="1">
        <f>IFERROR(DATE(Table1[[#This Row],[Year]],Table1[[#This Row],[Month]],Table1[[#This Row],[Day]]),"")</f>
        <v>45413</v>
      </c>
      <c r="E8" s="2">
        <v>0.1026</v>
      </c>
      <c r="F8" s="2">
        <v>0.11899999999999999</v>
      </c>
      <c r="G8" s="3">
        <f>MAX(Table1[[#This Row],[COF (M-o-M)]:[ISC]])+0.3%</f>
        <v>0.122</v>
      </c>
    </row>
    <row r="9" spans="1:7" x14ac:dyDescent="0.25">
      <c r="A9">
        <v>2024</v>
      </c>
      <c r="B9">
        <v>6</v>
      </c>
      <c r="C9">
        <v>1</v>
      </c>
      <c r="D9" s="1">
        <f>IFERROR(DATE(Table1[[#This Row],[Year]],Table1[[#This Row],[Month]],Table1[[#This Row],[Day]]),"")</f>
        <v>45444</v>
      </c>
      <c r="E9" s="2">
        <v>0.1048</v>
      </c>
      <c r="F9" s="2">
        <v>0.1235</v>
      </c>
      <c r="G9" s="3">
        <f>MAX(Table1[[#This Row],[COF (M-o-M)]:[ISC]])+0.3%</f>
        <v>0.1265</v>
      </c>
    </row>
    <row r="10" spans="1:7" x14ac:dyDescent="0.25">
      <c r="A10">
        <v>2024</v>
      </c>
      <c r="B10">
        <v>7</v>
      </c>
      <c r="C10">
        <v>1</v>
      </c>
      <c r="D10" s="1">
        <f>IFERROR(DATE(Table1[[#This Row],[Year]],Table1[[#This Row],[Month]],Table1[[#This Row],[Day]]),"")</f>
        <v>45474</v>
      </c>
      <c r="E10" s="2">
        <v>0.1074</v>
      </c>
      <c r="F10" s="2">
        <v>0.1235</v>
      </c>
      <c r="G10" s="3">
        <f>MAX(Table1[[#This Row],[COF (M-o-M)]:[ISC]])+0.3%</f>
        <v>0.1265</v>
      </c>
    </row>
    <row r="11" spans="1:7" x14ac:dyDescent="0.25">
      <c r="A11">
        <v>2024</v>
      </c>
      <c r="B11">
        <v>8</v>
      </c>
      <c r="C11">
        <v>1</v>
      </c>
      <c r="D11" s="1">
        <f>IFERROR(DATE(Table1[[#This Row],[Year]],Table1[[#This Row],[Month]],Table1[[#This Row],[Day]]),"")</f>
        <v>45505</v>
      </c>
      <c r="E11" s="2">
        <v>0.112</v>
      </c>
      <c r="F11" s="2">
        <v>0.1235</v>
      </c>
      <c r="G11" s="3">
        <f>MAX(Table1[[#This Row],[COF (M-o-M)]:[ISC]])+0.3%</f>
        <v>0.1265</v>
      </c>
    </row>
    <row r="12" spans="1:7" x14ac:dyDescent="0.25">
      <c r="A12">
        <v>2024</v>
      </c>
      <c r="B12">
        <v>9</v>
      </c>
      <c r="C12">
        <v>1</v>
      </c>
      <c r="D12" s="1">
        <f>IFERROR(DATE(Table1[[#This Row],[Year]],Table1[[#This Row],[Month]],Table1[[#This Row],[Day]]),"")</f>
        <v>45536</v>
      </c>
      <c r="E12" s="2">
        <v>0.11409999999999999</v>
      </c>
      <c r="F12" s="2">
        <v>0.1225</v>
      </c>
      <c r="G12" s="3">
        <f>MAX(Table1[[#This Row],[COF (M-o-M)]:[ISC]])+0.3%</f>
        <v>0.1255</v>
      </c>
    </row>
    <row r="13" spans="1:7" x14ac:dyDescent="0.25">
      <c r="A13">
        <v>2024</v>
      </c>
      <c r="B13">
        <v>10</v>
      </c>
      <c r="C13">
        <v>1</v>
      </c>
      <c r="D13" s="1">
        <f>IFERROR(DATE(Table1[[#This Row],[Year]],Table1[[#This Row],[Month]],Table1[[#This Row],[Day]]),"")</f>
        <v>45566</v>
      </c>
      <c r="E13" s="2">
        <v>0.1149</v>
      </c>
      <c r="F13" s="2">
        <v>0.1225</v>
      </c>
      <c r="G13" s="3">
        <f>MAX(Table1[[#This Row],[COF (M-o-M)]:[ISC]])+0.3%</f>
        <v>0.1255</v>
      </c>
    </row>
    <row r="14" spans="1:7" x14ac:dyDescent="0.25">
      <c r="A14">
        <v>2024</v>
      </c>
      <c r="B14">
        <v>11</v>
      </c>
      <c r="C14">
        <v>1</v>
      </c>
      <c r="D14" s="1">
        <f>IFERROR(DATE(Table1[[#This Row],[Year]],Table1[[#This Row],[Month]],Table1[[#This Row],[Day]]),"")</f>
        <v>45597</v>
      </c>
      <c r="E14" s="2">
        <v>0.11600000000000001</v>
      </c>
      <c r="F14" s="2">
        <v>0.1225</v>
      </c>
      <c r="G14" s="3">
        <f>MAX(Table1[[#This Row],[COF (M-o-M)]:[ISC]])+0.3%</f>
        <v>0.1255</v>
      </c>
    </row>
    <row r="15" spans="1:7" x14ac:dyDescent="0.25">
      <c r="A15">
        <v>2024</v>
      </c>
      <c r="B15">
        <v>12</v>
      </c>
      <c r="C15">
        <v>1</v>
      </c>
      <c r="D15" s="1">
        <f>IFERROR(DATE(Table1[[#This Row],[Year]],Table1[[#This Row],[Month]],Table1[[#This Row],[Day]]),"")</f>
        <v>45627</v>
      </c>
      <c r="E15" s="2">
        <v>0.11650000000000001</v>
      </c>
      <c r="F15" s="2">
        <v>0.1222</v>
      </c>
      <c r="G15" s="3">
        <f>MAX(Table1[[#This Row],[COF (M-o-M)]:[ISC]])+0.3%</f>
        <v>0.12520000000000001</v>
      </c>
    </row>
    <row r="16" spans="1:7" x14ac:dyDescent="0.25">
      <c r="A16">
        <v>2025</v>
      </c>
      <c r="B16">
        <v>1</v>
      </c>
      <c r="C16">
        <v>1</v>
      </c>
      <c r="D16" s="1">
        <f>IFERROR(DATE(Table1[[#This Row],[Year]],Table1[[#This Row],[Month]],Table1[[#This Row],[Day]]),"")</f>
        <v>45658</v>
      </c>
      <c r="E16" s="2">
        <v>0.1172</v>
      </c>
      <c r="F16" s="2">
        <v>0.12189999999999999</v>
      </c>
      <c r="G16" s="3">
        <f>MAX(Table1[[#This Row],[COF (M-o-M)]:[ISC]])+0.3%</f>
        <v>0.1249</v>
      </c>
    </row>
    <row r="17" spans="1:7" x14ac:dyDescent="0.25">
      <c r="A17">
        <v>2025</v>
      </c>
      <c r="B17">
        <v>2</v>
      </c>
      <c r="C17">
        <v>1</v>
      </c>
      <c r="D17" s="1">
        <f>IFERROR(DATE(Table1[[#This Row],[Year]],Table1[[#This Row],[Month]],Table1[[#This Row],[Day]]),"")</f>
        <v>45689</v>
      </c>
      <c r="E17" s="2">
        <v>0.1181</v>
      </c>
      <c r="F17" s="2">
        <v>0.121</v>
      </c>
      <c r="G17" s="3">
        <f>MAX(Table1[[#This Row],[COF (M-o-M)]:[ISC]])+0.3%</f>
        <v>0.124</v>
      </c>
    </row>
    <row r="18" spans="1:7" x14ac:dyDescent="0.25">
      <c r="A18">
        <v>2025</v>
      </c>
      <c r="B18">
        <v>3</v>
      </c>
      <c r="C18">
        <v>1</v>
      </c>
      <c r="D18" s="1">
        <f>IFERROR(DATE(Table1[[#This Row],[Year]],Table1[[#This Row],[Month]],Table1[[#This Row],[Day]]),"")</f>
        <v>45717</v>
      </c>
      <c r="E18" s="2">
        <v>0.1182</v>
      </c>
      <c r="F18" s="2">
        <v>0.121</v>
      </c>
      <c r="G18" s="3">
        <f>MAX(Table1[[#This Row],[COF (M-o-M)]:[ISC]])+0.3%</f>
        <v>0.124</v>
      </c>
    </row>
    <row r="19" spans="1:7" x14ac:dyDescent="0.25">
      <c r="A19">
        <v>2025</v>
      </c>
      <c r="B19">
        <v>4</v>
      </c>
      <c r="C19">
        <v>1</v>
      </c>
      <c r="D19" s="1">
        <f>IFERROR(DATE(Table1[[#This Row],[Year]],Table1[[#This Row],[Month]],Table1[[#This Row],[Day]]),"")</f>
        <v>45748</v>
      </c>
      <c r="E19" s="2">
        <v>0.11799999999999999</v>
      </c>
      <c r="F19" s="2">
        <v>0.12</v>
      </c>
      <c r="G19" s="3">
        <f>MAX(Table1[[#This Row],[COF (M-o-M)]:[ISC]])+0.3%</f>
        <v>0.123</v>
      </c>
    </row>
    <row r="20" spans="1:7" x14ac:dyDescent="0.25">
      <c r="A20">
        <v>2025</v>
      </c>
      <c r="B20">
        <v>5</v>
      </c>
      <c r="C20">
        <v>1</v>
      </c>
      <c r="D20" s="1">
        <f>IFERROR(DATE(Table1[[#This Row],[Year]],Table1[[#This Row],[Month]],Table1[[#This Row],[Day]]),"")</f>
        <v>45778</v>
      </c>
      <c r="E20" s="2">
        <v>0.11840000000000001</v>
      </c>
      <c r="F20" s="2">
        <v>0.12</v>
      </c>
      <c r="G20" s="3">
        <f>MAX(Table1[[#This Row],[COF (M-o-M)]:[ISC]])+0.3%</f>
        <v>0.123</v>
      </c>
    </row>
    <row r="21" spans="1:7" x14ac:dyDescent="0.25">
      <c r="A21">
        <v>2025</v>
      </c>
      <c r="B21">
        <v>6</v>
      </c>
      <c r="C21">
        <v>1</v>
      </c>
      <c r="D21" s="1">
        <f>IFERROR(DATE(Table1[[#This Row],[Year]],Table1[[#This Row],[Month]],Table1[[#This Row],[Day]]),"")</f>
        <v>45809</v>
      </c>
      <c r="E21" s="2">
        <v>0.11840000000000001</v>
      </c>
      <c r="F21" s="2">
        <v>0.12</v>
      </c>
      <c r="G21" s="3">
        <f>MAX(Table1[[#This Row],[COF (M-o-M)]:[ISC]])+0.3%</f>
        <v>0.123</v>
      </c>
    </row>
    <row r="22" spans="1:7" x14ac:dyDescent="0.25">
      <c r="A22">
        <v>2025</v>
      </c>
      <c r="B22">
        <v>7</v>
      </c>
      <c r="C22">
        <v>1</v>
      </c>
      <c r="D22" s="1">
        <f>IFERROR(DATE(Table1[[#This Row],[Year]],Table1[[#This Row],[Month]],Table1[[#This Row],[Day]]),"")</f>
        <v>45839</v>
      </c>
      <c r="E22" s="2">
        <v>0.11849999999999999</v>
      </c>
      <c r="F22" s="2">
        <v>0.12</v>
      </c>
      <c r="G22" s="3">
        <f>MAX(Table1[[#This Row],[COF (M-o-M)]:[ISC]])+0.3%</f>
        <v>0.123</v>
      </c>
    </row>
    <row r="23" spans="1:7" x14ac:dyDescent="0.25">
      <c r="A23">
        <v>2025</v>
      </c>
      <c r="B23">
        <v>8</v>
      </c>
      <c r="C23">
        <v>1</v>
      </c>
      <c r="D23" s="1">
        <f>IFERROR(DATE(Table1[[#This Row],[Year]],Table1[[#This Row],[Month]],Table1[[#This Row],[Day]]),"")</f>
        <v>45870</v>
      </c>
      <c r="E23" s="2">
        <v>0.1181</v>
      </c>
      <c r="F23" s="2">
        <v>0.11849999999999999</v>
      </c>
      <c r="G23" s="3">
        <f>MAX(Table1[[#This Row],[COF (M-o-M)]:[ISC]])+0.3%</f>
        <v>0.1215</v>
      </c>
    </row>
    <row r="24" spans="1:7" x14ac:dyDescent="0.25">
      <c r="A24">
        <v>2025</v>
      </c>
      <c r="B24">
        <v>9</v>
      </c>
      <c r="C24">
        <v>1</v>
      </c>
      <c r="D24" s="1">
        <f>IFERROR(DATE(Table1[[#This Row],[Year]],Table1[[#This Row],[Month]],Table1[[#This Row],[Day]]),"")</f>
        <v>45901</v>
      </c>
      <c r="E24" s="2">
        <v>0.11749999999999999</v>
      </c>
      <c r="F24" s="2">
        <v>0.11600000000000001</v>
      </c>
      <c r="G24" s="3">
        <f>MAX(Table1[[#This Row],[COF (M-o-M)]:[ISC]])+0.3%</f>
        <v>0.1205</v>
      </c>
    </row>
    <row r="25" spans="1:7" x14ac:dyDescent="0.25">
      <c r="A25">
        <v>2025</v>
      </c>
      <c r="B25">
        <v>10</v>
      </c>
      <c r="C25">
        <v>1</v>
      </c>
      <c r="D25" s="1">
        <f>IFERROR(DATE(Table1[[#This Row],[Year]],Table1[[#This Row],[Month]],Table1[[#This Row],[Day]]),"")</f>
        <v>45931</v>
      </c>
      <c r="E25" s="2">
        <v>0.1166</v>
      </c>
      <c r="F25" s="2">
        <v>0.111</v>
      </c>
      <c r="G25" s="3">
        <f>MAX(Table1[[#This Row],[COF (M-o-M)]:[ISC]])+0.3%</f>
        <v>0.1196</v>
      </c>
    </row>
    <row r="26" spans="1:7" x14ac:dyDescent="0.25">
      <c r="A26">
        <v>2025</v>
      </c>
      <c r="B26">
        <v>11</v>
      </c>
      <c r="C26">
        <v>1</v>
      </c>
      <c r="D26" s="1">
        <f>IFERROR(DATE(Table1[[#This Row],[Year]],Table1[[#This Row],[Month]],Table1[[#This Row],[Day]]),"")</f>
        <v>45962</v>
      </c>
      <c r="E26" s="2">
        <v>0.11509999999999999</v>
      </c>
      <c r="F26" s="2">
        <v>0.107</v>
      </c>
      <c r="G26" s="3">
        <f>MAX(Table1[[#This Row],[COF (M-o-M)]:[ISC]])+0.3%</f>
        <v>0.1181</v>
      </c>
    </row>
    <row r="27" spans="1:7" x14ac:dyDescent="0.25">
      <c r="A27">
        <v>2025</v>
      </c>
      <c r="B27">
        <v>12</v>
      </c>
      <c r="C27">
        <v>1</v>
      </c>
      <c r="D27" s="1">
        <f>IFERROR(DATE(Table1[[#This Row],[Year]],Table1[[#This Row],[Month]],Table1[[#This Row],[Day]]),"")</f>
        <v>45992</v>
      </c>
      <c r="E27" s="2">
        <v>0.1132</v>
      </c>
      <c r="F27" s="2">
        <v>0.1071</v>
      </c>
      <c r="G27" s="3">
        <f>MAX(Table1[[#This Row],[COF (M-o-M)]:[ISC]])+0.3%</f>
        <v>0.1162</v>
      </c>
    </row>
    <row r="28" spans="1:7" x14ac:dyDescent="0.25">
      <c r="A28">
        <v>2026</v>
      </c>
      <c r="B28">
        <v>1</v>
      </c>
      <c r="C28">
        <v>1</v>
      </c>
      <c r="D28" s="1">
        <f>IFERROR(DATE(Table1[[#This Row],[Year]],Table1[[#This Row],[Month]],Table1[[#This Row],[Day]]),"")</f>
        <v>46023</v>
      </c>
      <c r="E28" s="2">
        <v>0.1116</v>
      </c>
      <c r="F28" s="2">
        <v>0.1069</v>
      </c>
      <c r="G28" s="3">
        <f>MAX(Table1[[#This Row],[COF (M-o-M)]:[ISC]])+0.3%</f>
        <v>0.11460000000000001</v>
      </c>
    </row>
    <row r="29" spans="1:7" x14ac:dyDescent="0.25">
      <c r="A29">
        <v>2026</v>
      </c>
      <c r="B29">
        <v>2</v>
      </c>
      <c r="C29">
        <v>1</v>
      </c>
      <c r="D29" s="1">
        <f>IFERROR(DATE(Table1[[#This Row],[Year]],Table1[[#This Row],[Month]],Table1[[#This Row],[Day]]),"")</f>
        <v>46054</v>
      </c>
      <c r="E29" s="2">
        <v>0.1103</v>
      </c>
      <c r="F29" s="2">
        <v>0.1067</v>
      </c>
      <c r="G29" s="3">
        <f>MAX(Table1[[#This Row],[COF (M-o-M)]:[ISC]])+0.3%</f>
        <v>0.1133</v>
      </c>
    </row>
    <row r="30" spans="1:7" x14ac:dyDescent="0.25">
      <c r="A30">
        <v>2026</v>
      </c>
      <c r="B30">
        <v>3</v>
      </c>
      <c r="C30">
        <v>1</v>
      </c>
      <c r="D30" s="1">
        <f>IFERROR(DATE(Table1[[#This Row],[Year]],Table1[[#This Row],[Month]],Table1[[#This Row],[Day]]),"")</f>
        <v>46082</v>
      </c>
      <c r="E30" s="2">
        <v>0.1089</v>
      </c>
      <c r="F30" s="2">
        <v>0.10589999999999999</v>
      </c>
      <c r="G30" s="3">
        <f>MAX(Table1[[#This Row],[COF (M-o-M)]:[ISC]])+0.3%</f>
        <v>0.1119</v>
      </c>
    </row>
    <row r="31" spans="1:7" x14ac:dyDescent="0.25">
      <c r="A31">
        <v>2026</v>
      </c>
      <c r="B31">
        <v>4</v>
      </c>
      <c r="C31">
        <v>1</v>
      </c>
      <c r="D31" s="1">
        <f>IFERROR(DATE(Table1[[#This Row],[Year]],Table1[[#This Row],[Month]],Table1[[#This Row],[Day]]),"")</f>
        <v>46113</v>
      </c>
      <c r="E31" s="2">
        <v>0.108</v>
      </c>
      <c r="F31" s="2">
        <v>0.1055</v>
      </c>
      <c r="G31" s="3">
        <f>MAX(Table1[[#This Row],[COF (M-o-M)]:[ISC]])+0.3%</f>
        <v>0.111</v>
      </c>
    </row>
    <row r="32" spans="1:7" x14ac:dyDescent="0.25">
      <c r="A32">
        <v>2026</v>
      </c>
      <c r="B32">
        <v>5</v>
      </c>
      <c r="C32">
        <v>1</v>
      </c>
      <c r="D32" s="1">
        <f>IFERROR(DATE(Table1[[#This Row],[Year]],Table1[[#This Row],[Month]],Table1[[#This Row],[Day]]),"")</f>
        <v>46143</v>
      </c>
      <c r="E32" s="2">
        <v>0.1072</v>
      </c>
      <c r="F32" s="2">
        <v>0.1062</v>
      </c>
      <c r="G32" s="3">
        <f>MAX(Table1[[#This Row],[COF (M-o-M)]:[ISC]])+0.3%</f>
        <v>0.11020000000000001</v>
      </c>
    </row>
  </sheetData>
  <mergeCells count="2">
    <mergeCell ref="A1:C1"/>
    <mergeCell ref="E1:F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MAHFUZ RAHI</dc:creator>
  <cp:lastModifiedBy>MAHFUZ RAHI</cp:lastModifiedBy>
  <dcterms:created xsi:type="dcterms:W3CDTF">2015-06-05T18:17:20Z</dcterms:created>
  <dcterms:modified xsi:type="dcterms:W3CDTF">2026-06-10T12:38:46Z</dcterms:modified>
</cp:coreProperties>
</file>